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Windows 10\Desktop\MAP2080 FE\Arquivos\denschkah\"/>
    </mc:Choice>
  </mc:AlternateContent>
  <bookViews>
    <workbookView xWindow="0" yWindow="0" windowWidth="15345" windowHeight="4545"/>
  </bookViews>
  <sheets>
    <sheet name="Exemplo Base C1" sheetId="3" r:id="rId1"/>
    <sheet name="Exemplo Base C2it" sheetId="4" r:id="rId2"/>
    <sheet name="Exemplo Base C2" sheetId="7" r:id="rId3"/>
    <sheet name="Exemplo VOI" sheetId="5" r:id="rId4"/>
    <sheet name="Exemplo VID 2016-07-26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6" l="1" a="1"/>
  <c r="A4" i="6" s="1"/>
  <c r="A2" i="6" a="1"/>
  <c r="G2" i="6" s="1"/>
  <c r="A4" i="5" a="1"/>
  <c r="A4" i="5" s="1"/>
  <c r="A2" i="5" a="1"/>
  <c r="A2" i="5" s="1"/>
  <c r="B7" i="3" a="1"/>
  <c r="B7" i="4" a="1"/>
  <c r="H4" i="6" l="1"/>
  <c r="D4" i="6"/>
  <c r="G4" i="6"/>
  <c r="C4" i="6"/>
  <c r="J4" i="6"/>
  <c r="F4" i="6"/>
  <c r="B4" i="6"/>
  <c r="I4" i="6"/>
  <c r="E4" i="6"/>
  <c r="D2" i="6"/>
  <c r="H2" i="6"/>
  <c r="A2" i="6"/>
  <c r="E2" i="6"/>
  <c r="I2" i="6"/>
  <c r="B2" i="6"/>
  <c r="F2" i="6"/>
  <c r="J2" i="6"/>
  <c r="C2" i="6"/>
  <c r="E7" i="4"/>
  <c r="E8" i="4"/>
  <c r="E9" i="4"/>
  <c r="E10" i="4"/>
  <c r="E11" i="4"/>
  <c r="C7" i="4"/>
  <c r="C8" i="4"/>
  <c r="C9" i="4"/>
  <c r="C10" i="4"/>
  <c r="C11" i="4"/>
  <c r="B7" i="4"/>
  <c r="B8" i="4"/>
  <c r="B9" i="4"/>
  <c r="B10" i="4"/>
  <c r="B11" i="4"/>
  <c r="D7" i="4"/>
  <c r="D8" i="4"/>
  <c r="D9" i="4"/>
  <c r="D10" i="4"/>
  <c r="D11" i="4"/>
  <c r="G4" i="5"/>
  <c r="C4" i="5"/>
  <c r="J4" i="5"/>
  <c r="F4" i="5"/>
  <c r="B4" i="5"/>
  <c r="H4" i="5"/>
  <c r="D4" i="5"/>
  <c r="I4" i="5"/>
  <c r="E4" i="5"/>
  <c r="H2" i="5"/>
  <c r="G2" i="5"/>
  <c r="C2" i="5"/>
  <c r="J2" i="5"/>
  <c r="F2" i="5"/>
  <c r="B2" i="5"/>
  <c r="D2" i="5"/>
  <c r="I2" i="5"/>
  <c r="E2" i="5"/>
  <c r="C7" i="3"/>
  <c r="B8" i="3"/>
  <c r="C8" i="3"/>
  <c r="B9" i="3"/>
  <c r="E11" i="3"/>
  <c r="C11" i="3"/>
  <c r="C10" i="3"/>
  <c r="D7" i="3"/>
  <c r="C9" i="3"/>
  <c r="B10" i="3"/>
  <c r="E8" i="3"/>
  <c r="D8" i="3"/>
  <c r="B11" i="3"/>
  <c r="E7" i="3"/>
  <c r="D11" i="3"/>
  <c r="E10" i="3"/>
  <c r="D9" i="3"/>
  <c r="B7" i="3"/>
  <c r="D10" i="3"/>
  <c r="E9" i="3"/>
  <c r="W102" i="7"/>
  <c r="Y104" i="7"/>
  <c r="X107" i="7"/>
  <c r="X111" i="7"/>
  <c r="Y116" i="7"/>
  <c r="W122" i="7"/>
  <c r="X127" i="7"/>
  <c r="Y132" i="7"/>
  <c r="W138" i="7"/>
  <c r="X143" i="7"/>
  <c r="Y148" i="7"/>
  <c r="W103" i="7"/>
  <c r="Y105" i="7"/>
  <c r="X108" i="7"/>
  <c r="Y112" i="7"/>
  <c r="W118" i="7"/>
  <c r="X123" i="7"/>
  <c r="Y128" i="7"/>
  <c r="W134" i="7"/>
  <c r="X139" i="7"/>
  <c r="Y144" i="7"/>
  <c r="W150" i="7"/>
  <c r="X103" i="7"/>
  <c r="W106" i="7"/>
  <c r="Y108" i="7"/>
  <c r="W114" i="7"/>
  <c r="X119" i="7"/>
  <c r="Y124" i="7"/>
  <c r="W130" i="7"/>
  <c r="X135" i="7"/>
  <c r="Y140" i="7"/>
  <c r="W146" i="7"/>
  <c r="X151" i="7"/>
  <c r="X104" i="7"/>
  <c r="W107" i="7"/>
  <c r="W110" i="7"/>
  <c r="X115" i="7"/>
  <c r="Y120" i="7"/>
  <c r="W126" i="7"/>
  <c r="X131" i="7"/>
  <c r="Y136" i="7"/>
  <c r="W142" i="7"/>
  <c r="X147" i="7"/>
  <c r="X102" i="7"/>
  <c r="Y103" i="7"/>
  <c r="W105" i="7"/>
  <c r="X106" i="7"/>
  <c r="Y107" i="7"/>
  <c r="W109" i="7"/>
  <c r="X110" i="7"/>
  <c r="Y111" i="7"/>
  <c r="W113" i="7"/>
  <c r="X114" i="7"/>
  <c r="Y115" i="7"/>
  <c r="W117" i="7"/>
  <c r="X118" i="7"/>
  <c r="Y119" i="7"/>
  <c r="W121" i="7"/>
  <c r="X122" i="7"/>
  <c r="Y123" i="7"/>
  <c r="W125" i="7"/>
  <c r="X126" i="7"/>
  <c r="Y127" i="7"/>
  <c r="W129" i="7"/>
  <c r="X130" i="7"/>
  <c r="Y131" i="7"/>
  <c r="W133" i="7"/>
  <c r="X134" i="7"/>
  <c r="Y135" i="7"/>
  <c r="W137" i="7"/>
  <c r="X138" i="7"/>
  <c r="Y139" i="7"/>
  <c r="W141" i="7"/>
  <c r="X142" i="7"/>
  <c r="Y143" i="7"/>
  <c r="W145" i="7"/>
  <c r="X146" i="7"/>
  <c r="Y147" i="7"/>
  <c r="W149" i="7"/>
  <c r="X150" i="7"/>
  <c r="Y151" i="7"/>
  <c r="Y102" i="7"/>
  <c r="W104" i="7"/>
  <c r="X105" i="7"/>
  <c r="Y106" i="7"/>
  <c r="W108" i="7"/>
  <c r="X109" i="7"/>
  <c r="Y110" i="7"/>
  <c r="W112" i="7"/>
  <c r="X113" i="7"/>
  <c r="Y114" i="7"/>
  <c r="W116" i="7"/>
  <c r="X117" i="7"/>
  <c r="Y118" i="7"/>
  <c r="W120" i="7"/>
  <c r="X121" i="7"/>
  <c r="Y122" i="7"/>
  <c r="W124" i="7"/>
  <c r="X125" i="7"/>
  <c r="Y126" i="7"/>
  <c r="W128" i="7"/>
  <c r="X129" i="7"/>
  <c r="Y130" i="7"/>
  <c r="W132" i="7"/>
  <c r="X133" i="7"/>
  <c r="Y134" i="7"/>
  <c r="W136" i="7"/>
  <c r="X137" i="7"/>
  <c r="Y138" i="7"/>
  <c r="W140" i="7"/>
  <c r="X141" i="7"/>
  <c r="Y142" i="7"/>
  <c r="W144" i="7"/>
  <c r="X145" i="7"/>
  <c r="Y146" i="7"/>
  <c r="W148" i="7"/>
  <c r="X149" i="7"/>
  <c r="Y150" i="7"/>
  <c r="Y109" i="7"/>
  <c r="W111" i="7"/>
  <c r="X112" i="7"/>
  <c r="Y113" i="7"/>
  <c r="W115" i="7"/>
  <c r="X116" i="7"/>
  <c r="Y117" i="7"/>
  <c r="W119" i="7"/>
  <c r="X120" i="7"/>
  <c r="Y121" i="7"/>
  <c r="W123" i="7"/>
  <c r="X124" i="7"/>
  <c r="Y125" i="7"/>
  <c r="W127" i="7"/>
  <c r="X128" i="7"/>
  <c r="Y129" i="7"/>
  <c r="W131" i="7"/>
  <c r="X132" i="7"/>
  <c r="Y133" i="7"/>
  <c r="W135" i="7"/>
  <c r="X136" i="7"/>
  <c r="Y137" i="7"/>
  <c r="W139" i="7"/>
  <c r="X140" i="7"/>
  <c r="Y141" i="7"/>
  <c r="W143" i="7"/>
  <c r="X144" i="7"/>
  <c r="Y145" i="7"/>
  <c r="W147" i="7"/>
  <c r="X148" i="7"/>
  <c r="Y149" i="7"/>
  <c r="W151" i="7"/>
  <c r="Y72" i="7"/>
  <c r="X74" i="7"/>
  <c r="X76" i="7"/>
  <c r="W78" i="7"/>
  <c r="Y79" i="7"/>
  <c r="Y81" i="7"/>
  <c r="X83" i="7"/>
  <c r="W85" i="7"/>
  <c r="W87" i="7"/>
  <c r="Y88" i="7"/>
  <c r="X90" i="7"/>
  <c r="X92" i="7"/>
  <c r="W94" i="7"/>
  <c r="Y95" i="7"/>
  <c r="Y97" i="7"/>
  <c r="X99" i="7"/>
  <c r="W73" i="7"/>
  <c r="W75" i="7"/>
  <c r="Y76" i="7"/>
  <c r="X78" i="7"/>
  <c r="X80" i="7"/>
  <c r="W82" i="7"/>
  <c r="Y83" i="7"/>
  <c r="Y85" i="7"/>
  <c r="X87" i="7"/>
  <c r="W89" i="7"/>
  <c r="W91" i="7"/>
  <c r="Y92" i="7"/>
  <c r="X94" i="7"/>
  <c r="X96" i="7"/>
  <c r="W98" i="7"/>
  <c r="X100" i="7"/>
  <c r="Y73" i="7"/>
  <c r="X75" i="7"/>
  <c r="W77" i="7"/>
  <c r="W79" i="7"/>
  <c r="Y80" i="7"/>
  <c r="X82" i="7"/>
  <c r="X84" i="7"/>
  <c r="W86" i="7"/>
  <c r="Y87" i="7"/>
  <c r="Y89" i="7"/>
  <c r="X91" i="7"/>
  <c r="W93" i="7"/>
  <c r="W95" i="7"/>
  <c r="Y96" i="7"/>
  <c r="X98" i="7"/>
  <c r="Y100" i="7"/>
  <c r="X72" i="7"/>
  <c r="W74" i="7"/>
  <c r="Y75" i="7"/>
  <c r="Y77" i="7"/>
  <c r="X79" i="7"/>
  <c r="W81" i="7"/>
  <c r="W83" i="7"/>
  <c r="Y84" i="7"/>
  <c r="X86" i="7"/>
  <c r="X88" i="7"/>
  <c r="W90" i="7"/>
  <c r="Y91" i="7"/>
  <c r="Y93" i="7"/>
  <c r="X95" i="7"/>
  <c r="W97" i="7"/>
  <c r="W99" i="7"/>
  <c r="Y101" i="7"/>
  <c r="Y99" i="7"/>
  <c r="W101" i="7"/>
  <c r="W72" i="7"/>
  <c r="X73" i="7"/>
  <c r="Y74" i="7"/>
  <c r="W76" i="7"/>
  <c r="X77" i="7"/>
  <c r="Y78" i="7"/>
  <c r="W80" i="7"/>
  <c r="X81" i="7"/>
  <c r="Y82" i="7"/>
  <c r="W84" i="7"/>
  <c r="X85" i="7"/>
  <c r="Y86" i="7"/>
  <c r="W88" i="7"/>
  <c r="X89" i="7"/>
  <c r="Y90" i="7"/>
  <c r="W92" i="7"/>
  <c r="X93" i="7"/>
  <c r="Y94" i="7"/>
  <c r="W96" i="7"/>
  <c r="X97" i="7"/>
  <c r="Y98" i="7"/>
  <c r="W100" i="7"/>
  <c r="X101" i="7"/>
  <c r="W4" i="7"/>
  <c r="Y7" i="7"/>
  <c r="Y11" i="7"/>
  <c r="X18" i="7"/>
  <c r="X22" i="7"/>
  <c r="X26" i="7"/>
  <c r="X30" i="7"/>
  <c r="W37" i="7"/>
  <c r="W41" i="7"/>
  <c r="W45" i="7"/>
  <c r="X50" i="7"/>
  <c r="W3" i="7"/>
  <c r="X4" i="7"/>
  <c r="Y5" i="7"/>
  <c r="W8" i="7"/>
  <c r="X9" i="7"/>
  <c r="Y10" i="7"/>
  <c r="W12" i="7"/>
  <c r="X13" i="7"/>
  <c r="Y14" i="7"/>
  <c r="W16" i="7"/>
  <c r="X17" i="7"/>
  <c r="Y18" i="7"/>
  <c r="W20" i="7"/>
  <c r="X21" i="7"/>
  <c r="Y22" i="7"/>
  <c r="W24" i="7"/>
  <c r="X25" i="7"/>
  <c r="Y26" i="7"/>
  <c r="W28" i="7"/>
  <c r="X29" i="7"/>
  <c r="Y30" i="7"/>
  <c r="W32" i="7"/>
  <c r="X33" i="7"/>
  <c r="Y34" i="7"/>
  <c r="W36" i="7"/>
  <c r="X37" i="7"/>
  <c r="Y38" i="7"/>
  <c r="W40" i="7"/>
  <c r="X41" i="7"/>
  <c r="Y42" i="7"/>
  <c r="W44" i="7"/>
  <c r="X45" i="7"/>
  <c r="Y46" i="7"/>
  <c r="W48" i="7"/>
  <c r="X49" i="7"/>
  <c r="Y50" i="7"/>
  <c r="Y2" i="7"/>
  <c r="Y6" i="7"/>
  <c r="X10" i="7"/>
  <c r="W13" i="7"/>
  <c r="W17" i="7"/>
  <c r="W21" i="7"/>
  <c r="Y23" i="7"/>
  <c r="Y27" i="7"/>
  <c r="Y31" i="7"/>
  <c r="Y35" i="7"/>
  <c r="X38" i="7"/>
  <c r="Y43" i="7"/>
  <c r="X46" i="7"/>
  <c r="W49" i="7"/>
  <c r="W2" i="7"/>
  <c r="X3" i="7"/>
  <c r="Y4" i="7"/>
  <c r="W6" i="7"/>
  <c r="W7" i="7"/>
  <c r="X8" i="7"/>
  <c r="Y9" i="7"/>
  <c r="W11" i="7"/>
  <c r="X12" i="7"/>
  <c r="Y13" i="7"/>
  <c r="W15" i="7"/>
  <c r="X16" i="7"/>
  <c r="Y17" i="7"/>
  <c r="W19" i="7"/>
  <c r="X20" i="7"/>
  <c r="Y21" i="7"/>
  <c r="W23" i="7"/>
  <c r="X24" i="7"/>
  <c r="Y25" i="7"/>
  <c r="W27" i="7"/>
  <c r="X28" i="7"/>
  <c r="Y29" i="7"/>
  <c r="W31" i="7"/>
  <c r="X32" i="7"/>
  <c r="Y33" i="7"/>
  <c r="W35" i="7"/>
  <c r="X36" i="7"/>
  <c r="Y37" i="7"/>
  <c r="W39" i="7"/>
  <c r="X40" i="7"/>
  <c r="Y41" i="7"/>
  <c r="W43" i="7"/>
  <c r="X44" i="7"/>
  <c r="Y45" i="7"/>
  <c r="W47" i="7"/>
  <c r="X48" i="7"/>
  <c r="Y49" i="7"/>
  <c r="W51" i="7"/>
  <c r="X5" i="7"/>
  <c r="W9" i="7"/>
  <c r="X14" i="7"/>
  <c r="Y15" i="7"/>
  <c r="Y19" i="7"/>
  <c r="W25" i="7"/>
  <c r="W29" i="7"/>
  <c r="W33" i="7"/>
  <c r="X34" i="7"/>
  <c r="Y39" i="7"/>
  <c r="X42" i="7"/>
  <c r="Y47" i="7"/>
  <c r="Y51" i="7"/>
  <c r="X2" i="7"/>
  <c r="Y3" i="7"/>
  <c r="W5" i="7"/>
  <c r="X6" i="7"/>
  <c r="X7" i="7"/>
  <c r="Y8" i="7"/>
  <c r="W10" i="7"/>
  <c r="X11" i="7"/>
  <c r="Y12" i="7"/>
  <c r="W14" i="7"/>
  <c r="X15" i="7"/>
  <c r="Y16" i="7"/>
  <c r="W18" i="7"/>
  <c r="X19" i="7"/>
  <c r="Y20" i="7"/>
  <c r="W22" i="7"/>
  <c r="X23" i="7"/>
  <c r="Y24" i="7"/>
  <c r="W26" i="7"/>
  <c r="X27" i="7"/>
  <c r="Y28" i="7"/>
  <c r="W30" i="7"/>
  <c r="X31" i="7"/>
  <c r="Y32" i="7"/>
  <c r="W34" i="7"/>
  <c r="X35" i="7"/>
  <c r="Y36" i="7"/>
  <c r="W38" i="7"/>
  <c r="X39" i="7"/>
  <c r="Y40" i="7"/>
  <c r="W42" i="7"/>
  <c r="X43" i="7"/>
  <c r="Y44" i="7"/>
  <c r="W46" i="7"/>
  <c r="X47" i="7"/>
  <c r="Y48" i="7"/>
  <c r="W50" i="7"/>
  <c r="X51" i="7"/>
  <c r="W53" i="7"/>
  <c r="W57" i="7"/>
  <c r="X58" i="7"/>
  <c r="Y59" i="7"/>
  <c r="W61" i="7"/>
  <c r="X62" i="7"/>
  <c r="Y63" i="7"/>
  <c r="Y65" i="7"/>
  <c r="X67" i="7"/>
  <c r="W69" i="7"/>
  <c r="W71" i="7"/>
  <c r="W52" i="7"/>
  <c r="X53" i="7"/>
  <c r="Y54" i="7"/>
  <c r="W56" i="7"/>
  <c r="X57" i="7"/>
  <c r="Y58" i="7"/>
  <c r="W60" i="7"/>
  <c r="X61" i="7"/>
  <c r="Y62" i="7"/>
  <c r="X64" i="7"/>
  <c r="W66" i="7"/>
  <c r="Y67" i="7"/>
  <c r="Y69" i="7"/>
  <c r="X71" i="7"/>
  <c r="Y55" i="7"/>
  <c r="X52" i="7"/>
  <c r="Y53" i="7"/>
  <c r="W55" i="7"/>
  <c r="X56" i="7"/>
  <c r="Y57" i="7"/>
  <c r="W59" i="7"/>
  <c r="X60" i="7"/>
  <c r="Y61" i="7"/>
  <c r="W63" i="7"/>
  <c r="Y64" i="7"/>
  <c r="X66" i="7"/>
  <c r="X68" i="7"/>
  <c r="W70" i="7"/>
  <c r="Y71" i="7"/>
  <c r="X54" i="7"/>
  <c r="Y52" i="7"/>
  <c r="W54" i="7"/>
  <c r="X55" i="7"/>
  <c r="Y56" i="7"/>
  <c r="W58" i="7"/>
  <c r="X59" i="7"/>
  <c r="Y60" i="7"/>
  <c r="W62" i="7"/>
  <c r="X63" i="7"/>
  <c r="W65" i="7"/>
  <c r="W67" i="7"/>
  <c r="Y68" i="7"/>
  <c r="X70" i="7"/>
  <c r="W64" i="7"/>
  <c r="X65" i="7"/>
  <c r="Y66" i="7"/>
  <c r="W68" i="7"/>
  <c r="X69" i="7"/>
  <c r="Y70" i="7"/>
  <c r="W154" i="7"/>
  <c r="X159" i="7"/>
  <c r="Y164" i="7"/>
  <c r="W170" i="7"/>
  <c r="X175" i="7"/>
  <c r="Y180" i="7"/>
  <c r="W186" i="7"/>
  <c r="X191" i="7"/>
  <c r="Y196" i="7"/>
  <c r="W202" i="7"/>
  <c r="X207" i="7"/>
  <c r="Y212" i="7"/>
  <c r="W218" i="7"/>
  <c r="X223" i="7"/>
  <c r="Y228" i="7"/>
  <c r="X155" i="7"/>
  <c r="Y160" i="7"/>
  <c r="W166" i="7"/>
  <c r="X171" i="7"/>
  <c r="Y176" i="7"/>
  <c r="W182" i="7"/>
  <c r="X187" i="7"/>
  <c r="Y192" i="7"/>
  <c r="W198" i="7"/>
  <c r="X203" i="7"/>
  <c r="Y208" i="7"/>
  <c r="W214" i="7"/>
  <c r="X219" i="7"/>
  <c r="Y224" i="7"/>
  <c r="W230" i="7"/>
  <c r="Y156" i="7"/>
  <c r="W162" i="7"/>
  <c r="X167" i="7"/>
  <c r="Y172" i="7"/>
  <c r="W178" i="7"/>
  <c r="X183" i="7"/>
  <c r="Y188" i="7"/>
  <c r="W194" i="7"/>
  <c r="X199" i="7"/>
  <c r="Y204" i="7"/>
  <c r="W210" i="7"/>
  <c r="X215" i="7"/>
  <c r="Y220" i="7"/>
  <c r="W226" i="7"/>
  <c r="X231" i="7"/>
  <c r="Y152" i="7"/>
  <c r="W158" i="7"/>
  <c r="X163" i="7"/>
  <c r="Y168" i="7"/>
  <c r="W174" i="7"/>
  <c r="X179" i="7"/>
  <c r="Y184" i="7"/>
  <c r="W190" i="7"/>
  <c r="X195" i="7"/>
  <c r="Y200" i="7"/>
  <c r="W206" i="7"/>
  <c r="X211" i="7"/>
  <c r="Y216" i="7"/>
  <c r="W222" i="7"/>
  <c r="X227" i="7"/>
  <c r="Y232" i="7"/>
  <c r="W153" i="7"/>
  <c r="X154" i="7"/>
  <c r="Y155" i="7"/>
  <c r="W157" i="7"/>
  <c r="X158" i="7"/>
  <c r="Y159" i="7"/>
  <c r="W161" i="7"/>
  <c r="X162" i="7"/>
  <c r="Y163" i="7"/>
  <c r="W165" i="7"/>
  <c r="X166" i="7"/>
  <c r="Y167" i="7"/>
  <c r="W169" i="7"/>
  <c r="X170" i="7"/>
  <c r="Y171" i="7"/>
  <c r="W173" i="7"/>
  <c r="X174" i="7"/>
  <c r="Y175" i="7"/>
  <c r="W177" i="7"/>
  <c r="X178" i="7"/>
  <c r="Y179" i="7"/>
  <c r="W181" i="7"/>
  <c r="X182" i="7"/>
  <c r="Y183" i="7"/>
  <c r="W185" i="7"/>
  <c r="X186" i="7"/>
  <c r="Y187" i="7"/>
  <c r="W189" i="7"/>
  <c r="X190" i="7"/>
  <c r="Y191" i="7"/>
  <c r="W193" i="7"/>
  <c r="X194" i="7"/>
  <c r="Y195" i="7"/>
  <c r="W197" i="7"/>
  <c r="X198" i="7"/>
  <c r="Y199" i="7"/>
  <c r="W201" i="7"/>
  <c r="X202" i="7"/>
  <c r="Y203" i="7"/>
  <c r="W205" i="7"/>
  <c r="X206" i="7"/>
  <c r="Y207" i="7"/>
  <c r="W209" i="7"/>
  <c r="X210" i="7"/>
  <c r="Y211" i="7"/>
  <c r="W213" i="7"/>
  <c r="X214" i="7"/>
  <c r="Y215" i="7"/>
  <c r="W217" i="7"/>
  <c r="X218" i="7"/>
  <c r="Y219" i="7"/>
  <c r="W221" i="7"/>
  <c r="X222" i="7"/>
  <c r="Y223" i="7"/>
  <c r="W225" i="7"/>
  <c r="X226" i="7"/>
  <c r="Y227" i="7"/>
  <c r="W229" i="7"/>
  <c r="X230" i="7"/>
  <c r="Y231" i="7"/>
  <c r="W152" i="7"/>
  <c r="X153" i="7"/>
  <c r="Y154" i="7"/>
  <c r="W156" i="7"/>
  <c r="X157" i="7"/>
  <c r="Y158" i="7"/>
  <c r="W160" i="7"/>
  <c r="X161" i="7"/>
  <c r="Y162" i="7"/>
  <c r="W164" i="7"/>
  <c r="X165" i="7"/>
  <c r="Y166" i="7"/>
  <c r="W168" i="7"/>
  <c r="X169" i="7"/>
  <c r="Y170" i="7"/>
  <c r="W172" i="7"/>
  <c r="X173" i="7"/>
  <c r="Y174" i="7"/>
  <c r="W176" i="7"/>
  <c r="X177" i="7"/>
  <c r="Y178" i="7"/>
  <c r="W180" i="7"/>
  <c r="X181" i="7"/>
  <c r="Y182" i="7"/>
  <c r="W184" i="7"/>
  <c r="X185" i="7"/>
  <c r="Y186" i="7"/>
  <c r="W188" i="7"/>
  <c r="X189" i="7"/>
  <c r="Y190" i="7"/>
  <c r="W192" i="7"/>
  <c r="X193" i="7"/>
  <c r="Y194" i="7"/>
  <c r="W196" i="7"/>
  <c r="X197" i="7"/>
  <c r="Y198" i="7"/>
  <c r="W200" i="7"/>
  <c r="X201" i="7"/>
  <c r="Y202" i="7"/>
  <c r="W204" i="7"/>
  <c r="X205" i="7"/>
  <c r="Y206" i="7"/>
  <c r="W208" i="7"/>
  <c r="X209" i="7"/>
  <c r="Y210" i="7"/>
  <c r="W212" i="7"/>
  <c r="X213" i="7"/>
  <c r="Y214" i="7"/>
  <c r="W216" i="7"/>
  <c r="X217" i="7"/>
  <c r="Y218" i="7"/>
  <c r="W220" i="7"/>
  <c r="X221" i="7"/>
  <c r="Y222" i="7"/>
  <c r="W224" i="7"/>
  <c r="X225" i="7"/>
  <c r="Y226" i="7"/>
  <c r="W228" i="7"/>
  <c r="X229" i="7"/>
  <c r="Y230" i="7"/>
  <c r="W232" i="7"/>
  <c r="X152" i="7"/>
  <c r="Y153" i="7"/>
  <c r="W155" i="7"/>
  <c r="X156" i="7"/>
  <c r="Y157" i="7"/>
  <c r="W159" i="7"/>
  <c r="X160" i="7"/>
  <c r="Y161" i="7"/>
  <c r="W163" i="7"/>
  <c r="X164" i="7"/>
  <c r="Y165" i="7"/>
  <c r="W167" i="7"/>
  <c r="X168" i="7"/>
  <c r="Y169" i="7"/>
  <c r="W171" i="7"/>
  <c r="X172" i="7"/>
  <c r="Y173" i="7"/>
  <c r="W175" i="7"/>
  <c r="X176" i="7"/>
  <c r="Y177" i="7"/>
  <c r="W179" i="7"/>
  <c r="X180" i="7"/>
  <c r="Y181" i="7"/>
  <c r="W183" i="7"/>
  <c r="X184" i="7"/>
  <c r="Y185" i="7"/>
  <c r="W187" i="7"/>
  <c r="X188" i="7"/>
  <c r="Y189" i="7"/>
  <c r="W191" i="7"/>
  <c r="X192" i="7"/>
  <c r="Y193" i="7"/>
  <c r="W195" i="7"/>
  <c r="X196" i="7"/>
  <c r="Y197" i="7"/>
  <c r="W199" i="7"/>
  <c r="X200" i="7"/>
  <c r="Y201" i="7"/>
  <c r="W203" i="7"/>
  <c r="X204" i="7"/>
  <c r="Y205" i="7"/>
  <c r="W207" i="7"/>
  <c r="X208" i="7"/>
  <c r="Y209" i="7"/>
  <c r="W211" i="7"/>
  <c r="X212" i="7"/>
  <c r="Y213" i="7"/>
  <c r="W215" i="7"/>
  <c r="X216" i="7"/>
  <c r="Y217" i="7"/>
  <c r="W219" i="7"/>
  <c r="X220" i="7"/>
  <c r="Y221" i="7"/>
  <c r="W223" i="7"/>
  <c r="X224" i="7"/>
  <c r="Y225" i="7"/>
  <c r="W227" i="7"/>
  <c r="X228" i="7"/>
  <c r="Y229" i="7"/>
  <c r="W231" i="7"/>
  <c r="X232" i="7"/>
  <c r="Y70" i="3"/>
  <c r="X64" i="3"/>
  <c r="X55" i="3"/>
  <c r="Y59" i="3"/>
  <c r="W56" i="3"/>
  <c r="Y63" i="3"/>
  <c r="Y56" i="3"/>
  <c r="W63" i="3"/>
  <c r="X57" i="3"/>
  <c r="Y60" i="3"/>
  <c r="W57" i="3"/>
  <c r="W55" i="3"/>
  <c r="Y54" i="3"/>
  <c r="X62" i="3"/>
  <c r="W67" i="3"/>
  <c r="X84" i="3"/>
  <c r="Y80" i="3"/>
  <c r="W96" i="3"/>
  <c r="X89" i="3"/>
  <c r="W99" i="3"/>
  <c r="Y95" i="3"/>
  <c r="W74" i="3"/>
  <c r="Y100" i="3"/>
  <c r="W76" i="3"/>
  <c r="X87" i="3"/>
  <c r="Y83" i="3"/>
  <c r="W95" i="3"/>
  <c r="Y75" i="3"/>
  <c r="Y92" i="3"/>
  <c r="X81" i="3"/>
  <c r="W73" i="3"/>
  <c r="W91" i="3"/>
  <c r="Y89" i="3"/>
  <c r="Y93" i="3"/>
  <c r="X75" i="3"/>
  <c r="X95" i="3"/>
  <c r="W93" i="3"/>
  <c r="W100" i="3"/>
  <c r="Y147" i="3"/>
  <c r="X132" i="3"/>
  <c r="X124" i="3"/>
  <c r="X148" i="3"/>
  <c r="Y103" i="3"/>
  <c r="Y109" i="3"/>
  <c r="X123" i="3"/>
  <c r="X111" i="3"/>
  <c r="Y151" i="3"/>
  <c r="X105" i="3"/>
  <c r="W150" i="3"/>
  <c r="W121" i="3"/>
  <c r="Y123" i="3"/>
  <c r="Y142" i="3"/>
  <c r="X102" i="3"/>
  <c r="Y127" i="3"/>
  <c r="Y126" i="3"/>
  <c r="W107" i="3"/>
  <c r="W102" i="3"/>
  <c r="Y125" i="3"/>
  <c r="X106" i="3"/>
  <c r="X139" i="3"/>
  <c r="Y115" i="3"/>
  <c r="X104" i="3"/>
  <c r="W141" i="3"/>
  <c r="W125" i="3"/>
  <c r="W135" i="3"/>
  <c r="X144" i="3"/>
  <c r="Y148" i="3"/>
  <c r="X116" i="3"/>
  <c r="Y150" i="3"/>
  <c r="Y108" i="3"/>
  <c r="X142" i="3"/>
  <c r="X122" i="3"/>
  <c r="W106" i="3"/>
  <c r="W130" i="3"/>
  <c r="W122" i="3"/>
  <c r="Y162" i="3"/>
  <c r="X174" i="3"/>
  <c r="Y157" i="3"/>
  <c r="X187" i="3"/>
  <c r="X167" i="3"/>
  <c r="X185" i="3"/>
  <c r="X178" i="3"/>
  <c r="W201" i="3"/>
  <c r="X200" i="3"/>
  <c r="X224" i="3"/>
  <c r="Y205" i="3"/>
  <c r="W185" i="3"/>
  <c r="Y153" i="3"/>
  <c r="Y222" i="3"/>
  <c r="X180" i="3"/>
  <c r="Y209" i="3"/>
  <c r="W208" i="3"/>
  <c r="Y165" i="3"/>
  <c r="W173" i="3"/>
  <c r="X210" i="3"/>
  <c r="Y173" i="3"/>
  <c r="X156" i="3"/>
  <c r="W168" i="3"/>
  <c r="X219" i="3"/>
  <c r="X184" i="3"/>
  <c r="Y152" i="3"/>
  <c r="W225" i="3"/>
  <c r="Y196" i="3"/>
  <c r="X164" i="3"/>
  <c r="W172" i="3"/>
  <c r="W174" i="3"/>
  <c r="Y218" i="3"/>
  <c r="Y185" i="3"/>
  <c r="X165" i="3"/>
  <c r="X216" i="3"/>
  <c r="Y168" i="3"/>
  <c r="X181" i="3"/>
  <c r="X230" i="3"/>
  <c r="Y208" i="3"/>
  <c r="W69" i="3"/>
  <c r="X52" i="3"/>
  <c r="W58" i="3"/>
  <c r="X69" i="3"/>
  <c r="W59" i="3"/>
  <c r="Y53" i="3"/>
  <c r="X54" i="3"/>
  <c r="W62" i="3"/>
  <c r="Y61" i="3"/>
  <c r="X68" i="3"/>
  <c r="W61" i="3"/>
  <c r="Y52" i="3"/>
  <c r="X60" i="3"/>
  <c r="X53" i="3"/>
  <c r="W52" i="3"/>
  <c r="X96" i="3"/>
  <c r="W97" i="3"/>
  <c r="Y84" i="3"/>
  <c r="X88" i="3"/>
  <c r="Y82" i="3"/>
  <c r="X91" i="3"/>
  <c r="W94" i="3"/>
  <c r="Y88" i="3"/>
  <c r="W81" i="3"/>
  <c r="Y76" i="3"/>
  <c r="W89" i="3"/>
  <c r="Y73" i="3"/>
  <c r="Y77" i="3"/>
  <c r="Y90" i="3"/>
  <c r="Y78" i="3"/>
  <c r="W79" i="3"/>
  <c r="W83" i="3"/>
  <c r="X99" i="3"/>
  <c r="X97" i="3"/>
  <c r="X86" i="3"/>
  <c r="Y101" i="3"/>
  <c r="W101" i="3"/>
  <c r="W77" i="3"/>
  <c r="W112" i="3"/>
  <c r="W137" i="3"/>
  <c r="X136" i="3"/>
  <c r="Y124" i="3"/>
  <c r="Y121" i="3"/>
  <c r="X119" i="3"/>
  <c r="X109" i="3"/>
  <c r="W146" i="3"/>
  <c r="X149" i="3"/>
  <c r="Y133" i="3"/>
  <c r="W120" i="3"/>
  <c r="W133" i="3"/>
  <c r="X120" i="3"/>
  <c r="W126" i="3"/>
  <c r="Y139" i="3"/>
  <c r="Y106" i="3"/>
  <c r="X113" i="3"/>
  <c r="W118" i="3"/>
  <c r="Y132" i="3"/>
  <c r="Y134" i="3"/>
  <c r="Y143" i="3"/>
  <c r="X114" i="3"/>
  <c r="X143" i="3"/>
  <c r="W138" i="3"/>
  <c r="W115" i="3"/>
  <c r="W103" i="3"/>
  <c r="W104" i="3"/>
  <c r="X130" i="3"/>
  <c r="Y114" i="3"/>
  <c r="Y107" i="3"/>
  <c r="X151" i="3"/>
  <c r="Y129" i="3"/>
  <c r="X118" i="3"/>
  <c r="Y149" i="3"/>
  <c r="W111" i="3"/>
  <c r="W151" i="3"/>
  <c r="W139" i="3"/>
  <c r="W224" i="3"/>
  <c r="X211" i="3"/>
  <c r="X190" i="3"/>
  <c r="Y181" i="3"/>
  <c r="X231" i="3"/>
  <c r="X213" i="3"/>
  <c r="W161" i="3"/>
  <c r="W164" i="3"/>
  <c r="W229" i="3"/>
  <c r="Y206" i="3"/>
  <c r="X157" i="3"/>
  <c r="X232" i="3"/>
  <c r="Y195" i="3"/>
  <c r="X205" i="3"/>
  <c r="X201" i="3"/>
  <c r="Y200" i="3"/>
  <c r="X189" i="3"/>
  <c r="W194" i="3"/>
  <c r="W191" i="3"/>
  <c r="Y178" i="3"/>
  <c r="X160" i="3"/>
  <c r="Y174" i="3"/>
  <c r="W152" i="3"/>
  <c r="W207" i="3"/>
  <c r="X228" i="3"/>
  <c r="Y198" i="3"/>
  <c r="W217" i="3"/>
  <c r="X170" i="3"/>
  <c r="X176" i="3"/>
  <c r="W166" i="3"/>
  <c r="W160" i="3"/>
  <c r="W204" i="3"/>
  <c r="Y194" i="3"/>
  <c r="Y225" i="3"/>
  <c r="X206" i="3"/>
  <c r="Y189" i="3"/>
  <c r="X196" i="3"/>
  <c r="W222" i="3"/>
  <c r="Y156" i="3"/>
  <c r="X188" i="3"/>
  <c r="X191" i="3"/>
  <c r="Y155" i="3"/>
  <c r="X162" i="3"/>
  <c r="W155" i="3"/>
  <c r="W195" i="3"/>
  <c r="W202" i="3"/>
  <c r="Y219" i="3"/>
  <c r="Y201" i="3"/>
  <c r="X193" i="3"/>
  <c r="X215" i="3"/>
  <c r="Y192" i="3"/>
  <c r="X166" i="3"/>
  <c r="X70" i="3"/>
  <c r="X66" i="3"/>
  <c r="W71" i="3"/>
  <c r="Y58" i="3"/>
  <c r="W60" i="3"/>
  <c r="W53" i="3"/>
  <c r="X59" i="3"/>
  <c r="Y71" i="3"/>
  <c r="X71" i="3"/>
  <c r="X63" i="3"/>
  <c r="W68" i="3"/>
  <c r="X67" i="3"/>
  <c r="X65" i="3"/>
  <c r="Y67" i="3"/>
  <c r="W70" i="3"/>
  <c r="W85" i="3"/>
  <c r="X78" i="3"/>
  <c r="Y97" i="3"/>
  <c r="X77" i="3"/>
  <c r="X93" i="3"/>
  <c r="X94" i="3"/>
  <c r="W72" i="3"/>
  <c r="Y74" i="3"/>
  <c r="Y98" i="3"/>
  <c r="X100" i="3"/>
  <c r="W80" i="3"/>
  <c r="X83" i="3"/>
  <c r="X92" i="3"/>
  <c r="X73" i="3"/>
  <c r="Y96" i="3"/>
  <c r="W98" i="3"/>
  <c r="W82" i="3"/>
  <c r="X80" i="3"/>
  <c r="Y79" i="3"/>
  <c r="Y99" i="3"/>
  <c r="W87" i="3"/>
  <c r="W88" i="3"/>
  <c r="Y136" i="3"/>
  <c r="Y105" i="3"/>
  <c r="W145" i="3"/>
  <c r="W143" i="3"/>
  <c r="X140" i="3"/>
  <c r="X112" i="3"/>
  <c r="X137" i="3"/>
  <c r="X108" i="3"/>
  <c r="W131" i="3"/>
  <c r="Y102" i="3"/>
  <c r="X126" i="3"/>
  <c r="W142" i="3"/>
  <c r="W129" i="3"/>
  <c r="Y145" i="3"/>
  <c r="Y116" i="3"/>
  <c r="Y118" i="3"/>
  <c r="X133" i="3"/>
  <c r="W127" i="3"/>
  <c r="W147" i="3"/>
  <c r="X115" i="3"/>
  <c r="X135" i="3"/>
  <c r="Y113" i="3"/>
  <c r="X145" i="3"/>
  <c r="Y144" i="3"/>
  <c r="W105" i="3"/>
  <c r="W117" i="3"/>
  <c r="W113" i="3"/>
  <c r="Y119" i="3"/>
  <c r="Y104" i="3"/>
  <c r="X131" i="3"/>
  <c r="Y120" i="3"/>
  <c r="X134" i="3"/>
  <c r="Y138" i="3"/>
  <c r="X127" i="3"/>
  <c r="X121" i="3"/>
  <c r="W116" i="3"/>
  <c r="W128" i="3"/>
  <c r="W124" i="3"/>
  <c r="X172" i="3"/>
  <c r="Y223" i="3"/>
  <c r="W232" i="3"/>
  <c r="W171" i="3"/>
  <c r="W213" i="3"/>
  <c r="W209" i="3"/>
  <c r="W182" i="3"/>
  <c r="X229" i="3"/>
  <c r="X207" i="3"/>
  <c r="Y170" i="3"/>
  <c r="W179" i="3"/>
  <c r="W215" i="3"/>
  <c r="X186" i="3"/>
  <c r="Y187" i="3"/>
  <c r="W230" i="3"/>
  <c r="Y183" i="3"/>
  <c r="Y190" i="3"/>
  <c r="W188" i="3"/>
  <c r="W163" i="3"/>
  <c r="X194" i="3"/>
  <c r="X222" i="3"/>
  <c r="W210" i="3"/>
  <c r="W199" i="3"/>
  <c r="Y169" i="3"/>
  <c r="Y220" i="3"/>
  <c r="X153" i="3"/>
  <c r="X203" i="3"/>
  <c r="Y204" i="3"/>
  <c r="Y158" i="3"/>
  <c r="W157" i="3"/>
  <c r="Y232" i="3"/>
  <c r="X212" i="3"/>
  <c r="X179" i="3"/>
  <c r="X223" i="3"/>
  <c r="Y64" i="3"/>
  <c r="Y66" i="3"/>
  <c r="X58" i="3"/>
  <c r="Y72" i="3"/>
  <c r="Y86" i="3"/>
  <c r="X98" i="3"/>
  <c r="X101" i="3"/>
  <c r="Y87" i="3"/>
  <c r="W86" i="3"/>
  <c r="X147" i="3"/>
  <c r="Y140" i="3"/>
  <c r="W136" i="3"/>
  <c r="Y146" i="3"/>
  <c r="W110" i="3"/>
  <c r="Y110" i="3"/>
  <c r="W140" i="3"/>
  <c r="Y141" i="3"/>
  <c r="X141" i="3"/>
  <c r="W205" i="3"/>
  <c r="Y154" i="3"/>
  <c r="X183" i="3"/>
  <c r="W223" i="3"/>
  <c r="X192" i="3"/>
  <c r="Y199" i="3"/>
  <c r="Y210" i="3"/>
  <c r="W162" i="3"/>
  <c r="X173" i="3"/>
  <c r="Y175" i="3"/>
  <c r="X217" i="3"/>
  <c r="X155" i="3"/>
  <c r="W221" i="3"/>
  <c r="W211" i="3"/>
  <c r="W156" i="3"/>
  <c r="W159" i="3"/>
  <c r="Y227" i="3"/>
  <c r="Y180" i="3"/>
  <c r="X226" i="3"/>
  <c r="X208" i="3"/>
  <c r="X152" i="3"/>
  <c r="Y226" i="3"/>
  <c r="W214" i="3"/>
  <c r="X171" i="3"/>
  <c r="Y176" i="3"/>
  <c r="W219" i="3"/>
  <c r="X175" i="3"/>
  <c r="W175" i="3"/>
  <c r="W200" i="3"/>
  <c r="W180" i="3"/>
  <c r="Y16" i="3"/>
  <c r="X27" i="3"/>
  <c r="Y38" i="3"/>
  <c r="Y50" i="3"/>
  <c r="W44" i="3"/>
  <c r="X43" i="3"/>
  <c r="W16" i="3"/>
  <c r="X22" i="3"/>
  <c r="Y10" i="3"/>
  <c r="X42" i="3"/>
  <c r="W25" i="3"/>
  <c r="Y20" i="3"/>
  <c r="X41" i="3"/>
  <c r="W11" i="3"/>
  <c r="X29" i="3"/>
  <c r="Y47" i="3"/>
  <c r="X20" i="3"/>
  <c r="W49" i="3"/>
  <c r="W15" i="3"/>
  <c r="X19" i="3"/>
  <c r="Y40" i="3"/>
  <c r="X30" i="3"/>
  <c r="X28" i="3"/>
  <c r="W64" i="3"/>
  <c r="X61" i="3"/>
  <c r="X56" i="3"/>
  <c r="Y65" i="3"/>
  <c r="Y94" i="3"/>
  <c r="X76" i="3"/>
  <c r="X79" i="3"/>
  <c r="X82" i="3"/>
  <c r="Y91" i="3"/>
  <c r="W90" i="3"/>
  <c r="W108" i="3"/>
  <c r="Y131" i="3"/>
  <c r="W109" i="3"/>
  <c r="X125" i="3"/>
  <c r="X138" i="3"/>
  <c r="X150" i="3"/>
  <c r="Y137" i="3"/>
  <c r="X146" i="3"/>
  <c r="W123" i="3"/>
  <c r="Y215" i="3"/>
  <c r="W218" i="3"/>
  <c r="W226" i="3"/>
  <c r="Y182" i="3"/>
  <c r="W165" i="3"/>
  <c r="X214" i="3"/>
  <c r="X182" i="3"/>
  <c r="W192" i="3"/>
  <c r="X225" i="3"/>
  <c r="X199" i="3"/>
  <c r="W212" i="3"/>
  <c r="X198" i="3"/>
  <c r="Y188" i="3"/>
  <c r="Y191" i="3"/>
  <c r="W176" i="3"/>
  <c r="W169" i="3"/>
  <c r="Y221" i="3"/>
  <c r="Y167" i="3"/>
  <c r="Y228" i="3"/>
  <c r="Y159" i="3"/>
  <c r="X177" i="3"/>
  <c r="Y217" i="3"/>
  <c r="Y172" i="3"/>
  <c r="X161" i="3"/>
  <c r="X169" i="3"/>
  <c r="X159" i="3"/>
  <c r="W183" i="3"/>
  <c r="W170" i="3"/>
  <c r="W197" i="3"/>
  <c r="W181" i="3"/>
  <c r="W27" i="3"/>
  <c r="Y32" i="3"/>
  <c r="X9" i="3"/>
  <c r="X32" i="3"/>
  <c r="X3" i="3"/>
  <c r="Y5" i="3"/>
  <c r="W28" i="3"/>
  <c r="Y29" i="3"/>
  <c r="X45" i="3"/>
  <c r="X21" i="3"/>
  <c r="W19" i="3"/>
  <c r="X24" i="3"/>
  <c r="Y21" i="3"/>
  <c r="W40" i="3"/>
  <c r="Y11" i="3"/>
  <c r="Y26" i="3"/>
  <c r="X44" i="3"/>
  <c r="W9" i="3"/>
  <c r="Y23" i="3"/>
  <c r="X18" i="3"/>
  <c r="Y6" i="3"/>
  <c r="Y12" i="3"/>
  <c r="Y55" i="3"/>
  <c r="Y57" i="3"/>
  <c r="Y62" i="3"/>
  <c r="W54" i="3"/>
  <c r="W92" i="3"/>
  <c r="W84" i="3"/>
  <c r="W75" i="3"/>
  <c r="X90" i="3"/>
  <c r="Y81" i="3"/>
  <c r="X107" i="3"/>
  <c r="W149" i="3"/>
  <c r="W119" i="3"/>
  <c r="Y130" i="3"/>
  <c r="Y117" i="3"/>
  <c r="X110" i="3"/>
  <c r="W132" i="3"/>
  <c r="Y135" i="3"/>
  <c r="X128" i="3"/>
  <c r="W134" i="3"/>
  <c r="Y163" i="3"/>
  <c r="W184" i="3"/>
  <c r="W186" i="3"/>
  <c r="Y216" i="3"/>
  <c r="W198" i="3"/>
  <c r="X227" i="3"/>
  <c r="Y161" i="3"/>
  <c r="X221" i="3"/>
  <c r="W203" i="3"/>
  <c r="X154" i="3"/>
  <c r="Y177" i="3"/>
  <c r="X220" i="3"/>
  <c r="W228" i="3"/>
  <c r="W193" i="3"/>
  <c r="W154" i="3"/>
  <c r="W196" i="3"/>
  <c r="X209" i="3"/>
  <c r="X195" i="3"/>
  <c r="Y230" i="3"/>
  <c r="Y166" i="3"/>
  <c r="W231" i="3"/>
  <c r="Y207" i="3"/>
  <c r="Y193" i="3"/>
  <c r="X168" i="3"/>
  <c r="Y203" i="3"/>
  <c r="W220" i="3"/>
  <c r="W177" i="3"/>
  <c r="W187" i="3"/>
  <c r="W178" i="3"/>
  <c r="X8" i="3"/>
  <c r="W17" i="3"/>
  <c r="W32" i="3"/>
  <c r="W2" i="3"/>
  <c r="Y51" i="3"/>
  <c r="Y24" i="3"/>
  <c r="Y37" i="3"/>
  <c r="Y25" i="3"/>
  <c r="X5" i="3"/>
  <c r="Y35" i="3"/>
  <c r="W13" i="3"/>
  <c r="W37" i="3"/>
  <c r="X7" i="3"/>
  <c r="W26" i="3"/>
  <c r="Y7" i="3"/>
  <c r="Y45" i="3"/>
  <c r="X34" i="3"/>
  <c r="X17" i="3"/>
  <c r="W3" i="3"/>
  <c r="Y36" i="3"/>
  <c r="X48" i="3"/>
  <c r="X23" i="3"/>
  <c r="Y33" i="3"/>
  <c r="X6" i="3"/>
  <c r="Y14" i="3"/>
  <c r="W45" i="3"/>
  <c r="W18" i="3"/>
  <c r="W42" i="3"/>
  <c r="W43" i="3"/>
  <c r="X35" i="3"/>
  <c r="Y13" i="3"/>
  <c r="Y15" i="3"/>
  <c r="X13" i="3"/>
  <c r="X40" i="3"/>
  <c r="X47" i="3"/>
  <c r="W23" i="3"/>
  <c r="W35" i="3"/>
  <c r="W47" i="3"/>
  <c r="Y68" i="3"/>
  <c r="Y69" i="3"/>
  <c r="W65" i="3"/>
  <c r="W66" i="3"/>
  <c r="X72" i="3"/>
  <c r="Y85" i="3"/>
  <c r="X74" i="3"/>
  <c r="W78" i="3"/>
  <c r="X85" i="3"/>
  <c r="X103" i="3"/>
  <c r="X129" i="3"/>
  <c r="Y111" i="3"/>
  <c r="Y112" i="3"/>
  <c r="W148" i="3"/>
  <c r="Y122" i="3"/>
  <c r="W144" i="3"/>
  <c r="X117" i="3"/>
  <c r="Y128" i="3"/>
  <c r="W114" i="3"/>
  <c r="Y213" i="3"/>
  <c r="Y179" i="3"/>
  <c r="Y214" i="3"/>
  <c r="X197" i="3"/>
  <c r="W216" i="3"/>
  <c r="X163" i="3"/>
  <c r="Y231" i="3"/>
  <c r="Y164" i="3"/>
  <c r="Y212" i="3"/>
  <c r="Y229" i="3"/>
  <c r="Y186" i="3"/>
  <c r="Y171" i="3"/>
  <c r="X202" i="3"/>
  <c r="W190" i="3"/>
  <c r="W167" i="3"/>
  <c r="W227" i="3"/>
  <c r="W206" i="3"/>
  <c r="X158" i="3"/>
  <c r="Y211" i="3"/>
  <c r="Y184" i="3"/>
  <c r="Y224" i="3"/>
  <c r="X204" i="3"/>
  <c r="Y202" i="3"/>
  <c r="X218" i="3"/>
  <c r="Y197" i="3"/>
  <c r="Y160" i="3"/>
  <c r="W158" i="3"/>
  <c r="W189" i="3"/>
  <c r="W153" i="3"/>
  <c r="Y44" i="3"/>
  <c r="Y8" i="3"/>
  <c r="Y4" i="3"/>
  <c r="W8" i="3"/>
  <c r="W20" i="3"/>
  <c r="X33" i="3"/>
  <c r="W4" i="3"/>
  <c r="X51" i="3"/>
  <c r="Y31" i="3"/>
  <c r="X10" i="3"/>
  <c r="W7" i="3"/>
  <c r="W31" i="3"/>
  <c r="Y17" i="3"/>
  <c r="W50" i="3"/>
  <c r="Y41" i="3"/>
  <c r="X37" i="3"/>
  <c r="Y48" i="3"/>
  <c r="W38" i="3"/>
  <c r="W21" i="3"/>
  <c r="Y18" i="3"/>
  <c r="Y27" i="3"/>
  <c r="X26" i="3"/>
  <c r="Y42" i="3"/>
  <c r="Y46" i="3"/>
  <c r="X50" i="3"/>
  <c r="W10" i="3"/>
  <c r="W30" i="3"/>
  <c r="W5" i="3"/>
  <c r="Y39" i="3"/>
  <c r="X46" i="3"/>
  <c r="Y22" i="3"/>
  <c r="Y28" i="3"/>
  <c r="X36" i="3"/>
  <c r="Y3" i="3"/>
  <c r="X49" i="3"/>
  <c r="W24" i="3"/>
  <c r="W14" i="3"/>
  <c r="W34" i="3"/>
  <c r="X16" i="3"/>
  <c r="X4" i="3"/>
  <c r="W33" i="3"/>
  <c r="Y34" i="3"/>
  <c r="X12" i="3"/>
  <c r="Y2" i="3"/>
  <c r="W36" i="3"/>
  <c r="W22" i="3"/>
  <c r="X15" i="3"/>
  <c r="W39" i="3"/>
  <c r="W12" i="3"/>
  <c r="X25" i="3"/>
  <c r="Y49" i="3"/>
  <c r="X31" i="3"/>
  <c r="W41" i="3"/>
  <c r="X14" i="3"/>
  <c r="W46" i="3"/>
  <c r="X2" i="3"/>
  <c r="Y43" i="3"/>
  <c r="X11" i="3"/>
  <c r="Y19" i="3"/>
  <c r="W48" i="3"/>
  <c r="Y30" i="3"/>
  <c r="W51" i="3"/>
  <c r="Y9" i="3"/>
  <c r="X39" i="3"/>
  <c r="X38" i="3"/>
  <c r="W29" i="3"/>
  <c r="W6" i="3"/>
  <c r="W49" i="4"/>
  <c r="X16" i="4"/>
  <c r="X27" i="4"/>
  <c r="X14" i="4"/>
  <c r="W20" i="4"/>
  <c r="Y15" i="4"/>
  <c r="Y34" i="4"/>
  <c r="W18" i="4"/>
  <c r="W45" i="4"/>
  <c r="Y198" i="4"/>
  <c r="X48" i="4"/>
  <c r="X31" i="4"/>
  <c r="W43" i="4"/>
  <c r="Y4" i="4"/>
  <c r="W46" i="4"/>
  <c r="Y29" i="4"/>
  <c r="W8" i="4"/>
  <c r="X26" i="4"/>
  <c r="X219" i="4"/>
  <c r="Y207" i="4"/>
  <c r="Y26" i="4"/>
  <c r="Y21" i="4"/>
  <c r="X35" i="4"/>
  <c r="Y39" i="4"/>
  <c r="W198" i="4"/>
  <c r="X162" i="4"/>
  <c r="Y166" i="4"/>
  <c r="Y169" i="4"/>
  <c r="X195" i="4"/>
  <c r="Y214" i="4"/>
  <c r="Y220" i="4"/>
  <c r="Y185" i="4"/>
  <c r="Y223" i="4"/>
  <c r="W163" i="4"/>
  <c r="Y158" i="4"/>
  <c r="Y179" i="4"/>
  <c r="Y177" i="4"/>
  <c r="X173" i="4"/>
  <c r="Y191" i="4"/>
  <c r="W62" i="4"/>
  <c r="Y62" i="4"/>
  <c r="X67" i="4"/>
  <c r="Y93" i="4"/>
  <c r="W94" i="4"/>
  <c r="Y99" i="4"/>
  <c r="X87" i="4"/>
  <c r="X78" i="4"/>
  <c r="X93" i="4"/>
  <c r="W141" i="4"/>
  <c r="Y123" i="4"/>
  <c r="X37" i="4"/>
  <c r="Y36" i="4"/>
  <c r="Y45" i="4"/>
  <c r="X7" i="4"/>
  <c r="W156" i="4"/>
  <c r="X203" i="4"/>
  <c r="X207" i="4"/>
  <c r="W205" i="4"/>
  <c r="Y164" i="4"/>
  <c r="X161" i="4"/>
  <c r="W194" i="4"/>
  <c r="X213" i="4"/>
  <c r="Y221" i="4"/>
  <c r="X217" i="4"/>
  <c r="W157" i="4"/>
  <c r="X155" i="4"/>
  <c r="W232" i="4"/>
  <c r="Y215" i="4"/>
  <c r="X56" i="4"/>
  <c r="W58" i="4"/>
  <c r="Y60" i="4"/>
  <c r="W54" i="4"/>
  <c r="X72" i="4"/>
  <c r="W85" i="4"/>
  <c r="Y97" i="4"/>
  <c r="W91" i="4"/>
  <c r="X91" i="4"/>
  <c r="W77" i="4"/>
  <c r="X136" i="4"/>
  <c r="W4" i="4"/>
  <c r="X38" i="4"/>
  <c r="X10" i="4"/>
  <c r="Y18" i="4"/>
  <c r="X49" i="4"/>
  <c r="W176" i="4"/>
  <c r="X209" i="4"/>
  <c r="X212" i="4"/>
  <c r="W206" i="4"/>
  <c r="W155" i="4"/>
  <c r="X231" i="4"/>
  <c r="W207" i="4"/>
  <c r="W209" i="4"/>
  <c r="Y173" i="4"/>
  <c r="X169" i="4"/>
  <c r="Y175" i="4"/>
  <c r="X188" i="4"/>
  <c r="W184" i="4"/>
  <c r="W153" i="4"/>
  <c r="X71" i="4"/>
  <c r="X60" i="4"/>
  <c r="X61" i="4"/>
  <c r="Y54" i="4"/>
  <c r="W93" i="4"/>
  <c r="W76" i="4"/>
  <c r="W98" i="4"/>
  <c r="X73" i="4"/>
  <c r="Y73" i="4"/>
  <c r="X116" i="4"/>
  <c r="Y150" i="4"/>
  <c r="Y5" i="4"/>
  <c r="X32" i="4"/>
  <c r="Y40" i="4"/>
  <c r="Y2" i="4"/>
  <c r="Y208" i="4"/>
  <c r="Y154" i="4"/>
  <c r="W188" i="4"/>
  <c r="W191" i="4"/>
  <c r="Y200" i="4"/>
  <c r="X225" i="4"/>
  <c r="W226" i="4"/>
  <c r="X196" i="4"/>
  <c r="X166" i="4"/>
  <c r="X168" i="4"/>
  <c r="W164" i="4"/>
  <c r="X154" i="4"/>
  <c r="W183" i="4"/>
  <c r="Y178" i="4"/>
  <c r="W22" i="4"/>
  <c r="Y31" i="4"/>
  <c r="Y7" i="4"/>
  <c r="X15" i="4"/>
  <c r="X51" i="4"/>
  <c r="W35" i="4"/>
  <c r="X13" i="4"/>
  <c r="X42" i="4"/>
  <c r="W230" i="4"/>
  <c r="W193" i="4"/>
  <c r="W47" i="4"/>
  <c r="W15" i="4"/>
  <c r="W41" i="4"/>
  <c r="W31" i="4"/>
  <c r="Y24" i="4"/>
  <c r="X8" i="4"/>
  <c r="X6" i="4"/>
  <c r="W39" i="4"/>
  <c r="X175" i="4"/>
  <c r="W186" i="4"/>
  <c r="Y37" i="4"/>
  <c r="Y47" i="4"/>
  <c r="X30" i="4"/>
  <c r="X23" i="4"/>
  <c r="W220" i="4"/>
  <c r="W214" i="4"/>
  <c r="W165" i="4"/>
  <c r="X165" i="4"/>
  <c r="Y172" i="4"/>
  <c r="W172" i="4"/>
  <c r="X199" i="4"/>
  <c r="W224" i="4"/>
  <c r="W227" i="4"/>
  <c r="Y222" i="4"/>
  <c r="X178" i="4"/>
  <c r="Y160" i="4"/>
  <c r="X156" i="4"/>
  <c r="W152" i="4"/>
  <c r="X68" i="4"/>
  <c r="X70" i="4"/>
  <c r="Y66" i="4"/>
  <c r="X59" i="4"/>
  <c r="Y84" i="4"/>
  <c r="Y87" i="4"/>
  <c r="W78" i="4"/>
  <c r="X96" i="4"/>
  <c r="Y96" i="4"/>
  <c r="X98" i="4"/>
  <c r="X107" i="4"/>
  <c r="Y125" i="4"/>
  <c r="X43" i="4"/>
  <c r="W21" i="4"/>
  <c r="X20" i="4"/>
  <c r="X50" i="4"/>
  <c r="Y33" i="4"/>
  <c r="W174" i="4"/>
  <c r="W154" i="4"/>
  <c r="W202" i="4"/>
  <c r="Y232" i="4"/>
  <c r="X208" i="4"/>
  <c r="X214" i="4"/>
  <c r="W170" i="4"/>
  <c r="Y170" i="4"/>
  <c r="X200" i="4"/>
  <c r="W196" i="4"/>
  <c r="X182" i="4"/>
  <c r="W215" i="4"/>
  <c r="Y210" i="4"/>
  <c r="W169" i="4"/>
  <c r="Y58" i="4"/>
  <c r="W64" i="4"/>
  <c r="Y64" i="4"/>
  <c r="Y57" i="4"/>
  <c r="X86" i="4"/>
  <c r="W99" i="4"/>
  <c r="X85" i="4"/>
  <c r="W100" i="4"/>
  <c r="X100" i="4"/>
  <c r="X74" i="4"/>
  <c r="Y131" i="4"/>
  <c r="X25" i="4"/>
  <c r="Y42" i="4"/>
  <c r="W14" i="4"/>
  <c r="Y44" i="4"/>
  <c r="X224" i="4"/>
  <c r="X202" i="4"/>
  <c r="X158" i="4"/>
  <c r="W208" i="4"/>
  <c r="Y184" i="4"/>
  <c r="X193" i="4"/>
  <c r="W210" i="4"/>
  <c r="X164" i="4"/>
  <c r="X190" i="4"/>
  <c r="X152" i="4"/>
  <c r="W221" i="4"/>
  <c r="X171" i="4"/>
  <c r="W167" i="4"/>
  <c r="Y162" i="4"/>
  <c r="Y227" i="4"/>
  <c r="X69" i="4"/>
  <c r="W71" i="4"/>
  <c r="X64" i="4"/>
  <c r="X92" i="4"/>
  <c r="Y81" i="4"/>
  <c r="X99" i="4"/>
  <c r="Y76" i="4"/>
  <c r="W101" i="4"/>
  <c r="Y82" i="4"/>
  <c r="W150" i="4"/>
  <c r="W118" i="4"/>
  <c r="X22" i="4"/>
  <c r="Y10" i="4"/>
  <c r="X46" i="4"/>
  <c r="Y28" i="4"/>
  <c r="X160" i="4"/>
  <c r="Y224" i="4"/>
  <c r="X222" i="4"/>
  <c r="Y186" i="4"/>
  <c r="X179" i="4"/>
  <c r="Y182" i="4"/>
  <c r="Y204" i="4"/>
  <c r="Y153" i="4"/>
  <c r="X232" i="4"/>
  <c r="W228" i="4"/>
  <c r="Y199" i="4"/>
  <c r="Y20" i="4"/>
  <c r="X36" i="4"/>
  <c r="W11" i="4"/>
  <c r="Y41" i="4"/>
  <c r="W30" i="4"/>
  <c r="Y13" i="4"/>
  <c r="Y23" i="4"/>
  <c r="X44" i="4"/>
  <c r="X187" i="4"/>
  <c r="Y196" i="4"/>
  <c r="W48" i="4"/>
  <c r="X11" i="4"/>
  <c r="Y27" i="4"/>
  <c r="X21" i="4"/>
  <c r="W5" i="4"/>
  <c r="X3" i="4"/>
  <c r="Y50" i="4"/>
  <c r="W34" i="4"/>
  <c r="Y17" i="4"/>
  <c r="Y181" i="4"/>
  <c r="Y201" i="4"/>
  <c r="Y19" i="4"/>
  <c r="Y3" i="4"/>
  <c r="W19" i="4"/>
  <c r="Y49" i="4"/>
  <c r="W218" i="4"/>
  <c r="Y168" i="4"/>
  <c r="Y212" i="4"/>
  <c r="Y159" i="4"/>
  <c r="W219" i="4"/>
  <c r="Y211" i="4"/>
  <c r="W178" i="4"/>
  <c r="X181" i="4"/>
  <c r="Y205" i="4"/>
  <c r="X201" i="4"/>
  <c r="Y203" i="4"/>
  <c r="X220" i="4"/>
  <c r="W216" i="4"/>
  <c r="W217" i="4"/>
  <c r="Y52" i="4"/>
  <c r="W69" i="4"/>
  <c r="Y71" i="4"/>
  <c r="W63" i="4"/>
  <c r="X101" i="4"/>
  <c r="X79" i="4"/>
  <c r="W96" i="4"/>
  <c r="W75" i="4"/>
  <c r="X75" i="4"/>
  <c r="Y95" i="4"/>
  <c r="Y135" i="4"/>
  <c r="W27" i="4"/>
  <c r="W37" i="4"/>
  <c r="W23" i="4"/>
  <c r="X47" i="4"/>
  <c r="Y12" i="4"/>
  <c r="W38" i="4"/>
  <c r="Y218" i="4"/>
  <c r="X176" i="4"/>
  <c r="X184" i="4"/>
  <c r="Y194" i="4"/>
  <c r="Y59" i="4"/>
  <c r="Y83" i="4"/>
  <c r="X148" i="4"/>
  <c r="Y46" i="4"/>
  <c r="Y43" i="4"/>
  <c r="W13" i="4"/>
  <c r="Y230" i="4"/>
  <c r="X211" i="4"/>
  <c r="X206" i="4"/>
  <c r="W201" i="4"/>
  <c r="Y174" i="4"/>
  <c r="Y193" i="4"/>
  <c r="Y155" i="4"/>
  <c r="W53" i="4"/>
  <c r="W60" i="4"/>
  <c r="Y86" i="4"/>
  <c r="Y78" i="4"/>
  <c r="Y137" i="4"/>
  <c r="W16" i="4"/>
  <c r="X40" i="4"/>
  <c r="Y167" i="4"/>
  <c r="X180" i="4"/>
  <c r="W158" i="4"/>
  <c r="Y188" i="4"/>
  <c r="X216" i="4"/>
  <c r="W185" i="4"/>
  <c r="Y226" i="4"/>
  <c r="W67" i="4"/>
  <c r="X55" i="4"/>
  <c r="Y91" i="4"/>
  <c r="W87" i="4"/>
  <c r="W86" i="4"/>
  <c r="Y113" i="4"/>
  <c r="W10" i="4"/>
  <c r="X24" i="4"/>
  <c r="Y228" i="4"/>
  <c r="X223" i="4"/>
  <c r="Y229" i="4"/>
  <c r="X183" i="4"/>
  <c r="W211" i="4"/>
  <c r="W225" i="4"/>
  <c r="X204" i="4"/>
  <c r="X157" i="4"/>
  <c r="Y163" i="4"/>
  <c r="X54" i="4"/>
  <c r="Y65" i="4"/>
  <c r="W65" i="4"/>
  <c r="W80" i="4"/>
  <c r="Y90" i="4"/>
  <c r="Y88" i="4"/>
  <c r="Y101" i="4"/>
  <c r="Y79" i="4"/>
  <c r="X77" i="4"/>
  <c r="Y128" i="4"/>
  <c r="W147" i="4"/>
  <c r="X150" i="4"/>
  <c r="Y35" i="4"/>
  <c r="Y144" i="4"/>
  <c r="W138" i="4"/>
  <c r="Y146" i="4"/>
  <c r="X115" i="4"/>
  <c r="X113" i="4"/>
  <c r="W121" i="4"/>
  <c r="X146" i="4"/>
  <c r="W12" i="4"/>
  <c r="W128" i="4"/>
  <c r="X147" i="4"/>
  <c r="Y151" i="4"/>
  <c r="W44" i="4"/>
  <c r="X120" i="4"/>
  <c r="W142" i="4"/>
  <c r="W113" i="4"/>
  <c r="Y121" i="4"/>
  <c r="X141" i="4"/>
  <c r="X140" i="4"/>
  <c r="X122" i="4"/>
  <c r="Y117" i="4"/>
  <c r="Y106" i="4"/>
  <c r="X137" i="4"/>
  <c r="W105" i="4"/>
  <c r="X149" i="4"/>
  <c r="Y148" i="4"/>
  <c r="W126" i="4"/>
  <c r="X134" i="4"/>
  <c r="Y22" i="4"/>
  <c r="W108" i="4"/>
  <c r="Y120" i="4"/>
  <c r="Y126" i="4"/>
  <c r="Y104" i="4"/>
  <c r="Y111" i="4"/>
  <c r="Y51" i="4"/>
  <c r="X143" i="4"/>
  <c r="Y149" i="4"/>
  <c r="X105" i="4"/>
  <c r="X109" i="4"/>
  <c r="X138" i="4"/>
  <c r="W119" i="4"/>
  <c r="X131" i="4"/>
  <c r="Y138" i="4"/>
  <c r="X110" i="4"/>
  <c r="W116" i="4"/>
  <c r="W28" i="4"/>
  <c r="X103" i="4"/>
  <c r="W106" i="4"/>
  <c r="Y133" i="4"/>
  <c r="X104" i="4"/>
  <c r="W146" i="4"/>
  <c r="W122" i="4"/>
  <c r="Y38" i="4"/>
  <c r="X97" i="4"/>
  <c r="W175" i="4"/>
  <c r="X66" i="4"/>
  <c r="W88" i="4"/>
  <c r="Y9" i="4"/>
  <c r="X227" i="4"/>
  <c r="Y190" i="4"/>
  <c r="X88" i="4"/>
  <c r="Y124" i="4"/>
  <c r="X12" i="4"/>
  <c r="X185" i="4"/>
  <c r="W213" i="4"/>
  <c r="W56" i="4"/>
  <c r="W72" i="4"/>
  <c r="W120" i="4"/>
  <c r="X129" i="4"/>
  <c r="Y136" i="4"/>
  <c r="X123" i="4"/>
  <c r="Y103" i="4"/>
  <c r="Y32" i="4"/>
  <c r="Y8" i="4"/>
  <c r="W203" i="4"/>
  <c r="Y25" i="4"/>
  <c r="X9" i="4"/>
  <c r="W29" i="4"/>
  <c r="Y30" i="4"/>
  <c r="W171" i="4"/>
  <c r="X186" i="4"/>
  <c r="W180" i="4"/>
  <c r="W177" i="4"/>
  <c r="W66" i="4"/>
  <c r="W84" i="4"/>
  <c r="X4" i="4"/>
  <c r="X19" i="4"/>
  <c r="W162" i="4"/>
  <c r="X210" i="4"/>
  <c r="W190" i="4"/>
  <c r="X215" i="4"/>
  <c r="W181" i="4"/>
  <c r="X153" i="4"/>
  <c r="X172" i="4"/>
  <c r="X170" i="4"/>
  <c r="W52" i="4"/>
  <c r="X81" i="4"/>
  <c r="W89" i="4"/>
  <c r="W81" i="4"/>
  <c r="Y147" i="4"/>
  <c r="W36" i="4"/>
  <c r="W33" i="4"/>
  <c r="X159" i="4"/>
  <c r="X191" i="4"/>
  <c r="Y197" i="4"/>
  <c r="X163" i="4"/>
  <c r="W195" i="4"/>
  <c r="W161" i="4"/>
  <c r="X205" i="4"/>
  <c r="Y70" i="4"/>
  <c r="W59" i="4"/>
  <c r="X95" i="4"/>
  <c r="Y74" i="4"/>
  <c r="W95" i="4"/>
  <c r="Y140" i="4"/>
  <c r="Y48" i="4"/>
  <c r="X45" i="4"/>
  <c r="W159" i="4"/>
  <c r="Y180" i="4"/>
  <c r="W187" i="4"/>
  <c r="Y156" i="4"/>
  <c r="Y189" i="4"/>
  <c r="X174" i="4"/>
  <c r="Y161" i="4"/>
  <c r="W173" i="4"/>
  <c r="W55" i="4"/>
  <c r="Y61" i="4"/>
  <c r="X65" i="4"/>
  <c r="W70" i="4"/>
  <c r="X83" i="4"/>
  <c r="W90" i="4"/>
  <c r="X76" i="4"/>
  <c r="X80" i="4"/>
  <c r="Y80" i="4"/>
  <c r="Y75" i="4"/>
  <c r="Y134" i="4"/>
  <c r="X118" i="4"/>
  <c r="Y129" i="4"/>
  <c r="X135" i="4"/>
  <c r="W102" i="4"/>
  <c r="Y116" i="4"/>
  <c r="Y114" i="4"/>
  <c r="X144" i="4"/>
  <c r="W137" i="4"/>
  <c r="W115" i="4"/>
  <c r="W129" i="4"/>
  <c r="X18" i="4"/>
  <c r="X127" i="4"/>
  <c r="W103" i="4"/>
  <c r="X39" i="4"/>
  <c r="X29" i="4"/>
  <c r="W7" i="4"/>
  <c r="Y183" i="4"/>
  <c r="Y56" i="4"/>
  <c r="W9" i="4"/>
  <c r="Y187" i="4"/>
  <c r="W204" i="4"/>
  <c r="Y176" i="4"/>
  <c r="Y69" i="4"/>
  <c r="W82" i="4"/>
  <c r="W3" i="4"/>
  <c r="Y213" i="4"/>
  <c r="W160" i="4"/>
  <c r="Y219" i="4"/>
  <c r="X52" i="4"/>
  <c r="Y94" i="4"/>
  <c r="X41" i="4"/>
  <c r="X192" i="4"/>
  <c r="X226" i="4"/>
  <c r="W200" i="4"/>
  <c r="Y63" i="4"/>
  <c r="X90" i="4"/>
  <c r="X82" i="4"/>
  <c r="W136" i="4"/>
  <c r="Y127" i="4"/>
  <c r="X124" i="4"/>
  <c r="W109" i="4"/>
  <c r="X33" i="4"/>
  <c r="X114" i="4"/>
  <c r="Y14" i="4"/>
  <c r="W17" i="4"/>
  <c r="W223" i="4"/>
  <c r="W25" i="4"/>
  <c r="W51" i="4"/>
  <c r="X177" i="4"/>
  <c r="W40" i="4"/>
  <c r="X167" i="4"/>
  <c r="X228" i="4"/>
  <c r="X218" i="4"/>
  <c r="X63" i="4"/>
  <c r="W83" i="4"/>
  <c r="X84" i="4"/>
  <c r="W6" i="4"/>
  <c r="W24" i="4"/>
  <c r="X197" i="4"/>
  <c r="Y152" i="4"/>
  <c r="Y165" i="4"/>
  <c r="Y217" i="4"/>
  <c r="W179" i="4"/>
  <c r="W197" i="4"/>
  <c r="X189" i="4"/>
  <c r="W68" i="4"/>
  <c r="Y67" i="4"/>
  <c r="W92" i="4"/>
  <c r="W73" i="4"/>
  <c r="W79" i="4"/>
  <c r="W127" i="4"/>
  <c r="W26" i="4"/>
  <c r="W2" i="4"/>
  <c r="Y192" i="4"/>
  <c r="X230" i="4"/>
  <c r="Y231" i="4"/>
  <c r="Y202" i="4"/>
  <c r="W212" i="4"/>
  <c r="W231" i="4"/>
  <c r="X194" i="4"/>
  <c r="W57" i="4"/>
  <c r="W61" i="4"/>
  <c r="Y100" i="4"/>
  <c r="Y85" i="4"/>
  <c r="W97" i="4"/>
  <c r="Y118" i="4"/>
  <c r="X34" i="4"/>
  <c r="Y11" i="4"/>
  <c r="W182" i="4"/>
  <c r="Y195" i="4"/>
  <c r="W189" i="4"/>
  <c r="W192" i="4"/>
  <c r="Y206" i="4"/>
  <c r="W166" i="4"/>
  <c r="X221" i="4"/>
  <c r="X198" i="4"/>
  <c r="X57" i="4"/>
  <c r="Y68" i="4"/>
  <c r="Y53" i="4"/>
  <c r="Y55" i="4"/>
  <c r="W74" i="4"/>
  <c r="Y77" i="4"/>
  <c r="X94" i="4"/>
  <c r="X89" i="4"/>
  <c r="Y89" i="4"/>
  <c r="W130" i="4"/>
  <c r="X119" i="4"/>
  <c r="X128" i="4"/>
  <c r="W148" i="4"/>
  <c r="X132" i="4"/>
  <c r="W107" i="4"/>
  <c r="Y145" i="4"/>
  <c r="X102" i="4"/>
  <c r="W123" i="4"/>
  <c r="W112" i="4"/>
  <c r="Y142" i="4"/>
  <c r="X106" i="4"/>
  <c r="X108" i="4"/>
  <c r="W135" i="4"/>
  <c r="W111" i="4"/>
  <c r="W132" i="4"/>
  <c r="W143" i="4"/>
  <c r="W151" i="4"/>
  <c r="W124" i="4"/>
  <c r="X17" i="4"/>
  <c r="W134" i="4"/>
  <c r="Y132" i="4"/>
  <c r="W140" i="4"/>
  <c r="W110" i="4"/>
  <c r="Y102" i="4"/>
  <c r="W133" i="4"/>
  <c r="W125" i="4"/>
  <c r="Y6" i="4"/>
  <c r="X142" i="4"/>
  <c r="X112" i="4"/>
  <c r="Y130" i="4"/>
  <c r="Y110" i="4"/>
  <c r="W144" i="4"/>
  <c r="Y105" i="4"/>
  <c r="Y139" i="4"/>
  <c r="W32" i="4"/>
  <c r="Y16" i="4"/>
  <c r="W42" i="4"/>
  <c r="Y216" i="4"/>
  <c r="W199" i="4"/>
  <c r="Y108" i="4"/>
  <c r="W50" i="4"/>
  <c r="X229" i="4"/>
  <c r="Y157" i="4"/>
  <c r="W168" i="4"/>
  <c r="Y72" i="4"/>
  <c r="X139" i="4"/>
  <c r="X28" i="4"/>
  <c r="Y171" i="4"/>
  <c r="Y209" i="4"/>
  <c r="X53" i="4"/>
  <c r="X151" i="4"/>
  <c r="X5" i="4"/>
  <c r="W222" i="4"/>
  <c r="W229" i="4"/>
  <c r="Y225" i="4"/>
  <c r="X58" i="4"/>
  <c r="X62" i="4"/>
  <c r="Y92" i="4"/>
  <c r="Y98" i="4"/>
  <c r="Y115" i="4"/>
  <c r="X126" i="4"/>
  <c r="X145" i="4"/>
  <c r="X121" i="4"/>
  <c r="X133" i="4"/>
  <c r="Y143" i="4"/>
  <c r="Y141" i="4"/>
  <c r="W117" i="4"/>
  <c r="W131" i="4"/>
  <c r="Y112" i="4"/>
  <c r="W145" i="4"/>
  <c r="W149" i="4"/>
  <c r="X125" i="4"/>
  <c r="X111" i="4"/>
  <c r="Y109" i="4"/>
  <c r="Y119" i="4"/>
  <c r="W114" i="4"/>
  <c r="X2" i="4"/>
  <c r="X117" i="4"/>
  <c r="W104" i="4"/>
  <c r="Y107" i="4"/>
  <c r="Y122" i="4"/>
  <c r="X130" i="4"/>
  <c r="W139" i="4"/>
  <c r="N14" i="5" a="1"/>
  <c r="N2" i="5" a="1"/>
  <c r="N2" i="6" a="1"/>
  <c r="N14" i="6" a="1"/>
  <c r="Q23" i="6" l="1"/>
  <c r="Q22" i="6"/>
  <c r="Q21" i="6"/>
  <c r="Q20" i="6"/>
  <c r="Q19" i="6"/>
  <c r="Q18" i="6"/>
  <c r="Q17" i="6"/>
  <c r="Q16" i="6"/>
  <c r="Q15" i="6"/>
  <c r="Q14" i="6"/>
  <c r="P23" i="6"/>
  <c r="P22" i="6"/>
  <c r="P21" i="6"/>
  <c r="P20" i="6"/>
  <c r="P19" i="6"/>
  <c r="P18" i="6"/>
  <c r="P17" i="6"/>
  <c r="P16" i="6"/>
  <c r="P15" i="6"/>
  <c r="P14" i="6"/>
  <c r="O23" i="6"/>
  <c r="O22" i="6"/>
  <c r="O21" i="6"/>
  <c r="O20" i="6"/>
  <c r="O19" i="6"/>
  <c r="O18" i="6"/>
  <c r="O17" i="6"/>
  <c r="O16" i="6"/>
  <c r="O15" i="6"/>
  <c r="O14" i="6"/>
  <c r="N23" i="6"/>
  <c r="N22" i="6"/>
  <c r="N21" i="6"/>
  <c r="N20" i="6"/>
  <c r="N19" i="6"/>
  <c r="N18" i="6"/>
  <c r="N17" i="6"/>
  <c r="N16" i="6"/>
  <c r="N15" i="6"/>
  <c r="N14" i="6"/>
  <c r="Q11" i="6"/>
  <c r="Q10" i="6"/>
  <c r="Q9" i="6"/>
  <c r="Q8" i="6"/>
  <c r="Q7" i="6"/>
  <c r="Q6" i="6"/>
  <c r="Q5" i="6"/>
  <c r="Q4" i="6"/>
  <c r="Q3" i="6"/>
  <c r="Q2" i="6"/>
  <c r="P11" i="6"/>
  <c r="P10" i="6"/>
  <c r="P9" i="6"/>
  <c r="P8" i="6"/>
  <c r="P7" i="6"/>
  <c r="P6" i="6"/>
  <c r="P5" i="6"/>
  <c r="P4" i="6"/>
  <c r="P3" i="6"/>
  <c r="P2" i="6"/>
  <c r="O11" i="6"/>
  <c r="O10" i="6"/>
  <c r="O9" i="6"/>
  <c r="O8" i="6"/>
  <c r="O7" i="6"/>
  <c r="O6" i="6"/>
  <c r="O5" i="6"/>
  <c r="O4" i="6"/>
  <c r="O3" i="6"/>
  <c r="O2" i="6"/>
  <c r="N11" i="6"/>
  <c r="N10" i="6"/>
  <c r="N9" i="6"/>
  <c r="N8" i="6"/>
  <c r="N7" i="6"/>
  <c r="N6" i="6"/>
  <c r="N5" i="6"/>
  <c r="N4" i="6"/>
  <c r="N3" i="6"/>
  <c r="N2" i="6"/>
  <c r="Q16" i="5"/>
  <c r="Q19" i="5"/>
  <c r="Q22" i="5"/>
  <c r="N14" i="5"/>
  <c r="N15" i="5"/>
  <c r="N16" i="5"/>
  <c r="N17" i="5"/>
  <c r="N18" i="5"/>
  <c r="N19" i="5"/>
  <c r="N20" i="5"/>
  <c r="N21" i="5"/>
  <c r="N22" i="5"/>
  <c r="N23" i="5"/>
  <c r="O14" i="5"/>
  <c r="O15" i="5"/>
  <c r="O16" i="5"/>
  <c r="O17" i="5"/>
  <c r="O18" i="5"/>
  <c r="O19" i="5"/>
  <c r="O20" i="5"/>
  <c r="O21" i="5"/>
  <c r="O22" i="5"/>
  <c r="O23" i="5"/>
  <c r="P14" i="5"/>
  <c r="P15" i="5"/>
  <c r="P16" i="5"/>
  <c r="P17" i="5"/>
  <c r="P18" i="5"/>
  <c r="P19" i="5"/>
  <c r="P20" i="5"/>
  <c r="P21" i="5"/>
  <c r="P22" i="5"/>
  <c r="P23" i="5"/>
  <c r="Q14" i="5"/>
  <c r="Q15" i="5"/>
  <c r="Q17" i="5"/>
  <c r="Q18" i="5"/>
  <c r="Q20" i="5"/>
  <c r="Q21" i="5"/>
  <c r="Q23" i="5"/>
  <c r="Q2" i="5"/>
  <c r="Q3" i="5"/>
  <c r="Q4" i="5"/>
  <c r="Q5" i="5"/>
  <c r="Q6" i="5"/>
  <c r="Q7" i="5"/>
  <c r="Q8" i="5"/>
  <c r="Q9" i="5"/>
  <c r="Q10" i="5"/>
  <c r="Q11" i="5"/>
  <c r="P2" i="5"/>
  <c r="P3" i="5"/>
  <c r="P4" i="5"/>
  <c r="P5" i="5"/>
  <c r="P6" i="5"/>
  <c r="P7" i="5"/>
  <c r="P8" i="5"/>
  <c r="P9" i="5"/>
  <c r="P10" i="5"/>
  <c r="P11" i="5"/>
  <c r="N2" i="5"/>
  <c r="N3" i="5"/>
  <c r="N4" i="5"/>
  <c r="N5" i="5"/>
  <c r="N6" i="5"/>
  <c r="N7" i="5"/>
  <c r="N8" i="5"/>
  <c r="N9" i="5"/>
  <c r="N10" i="5"/>
  <c r="N11" i="5"/>
  <c r="O2" i="5"/>
  <c r="O3" i="5"/>
  <c r="O4" i="5"/>
  <c r="O5" i="5"/>
  <c r="O6" i="5"/>
  <c r="O7" i="5"/>
  <c r="O8" i="5"/>
  <c r="O9" i="5"/>
  <c r="O10" i="5"/>
  <c r="O11" i="5"/>
</calcChain>
</file>

<file path=xl/sharedStrings.xml><?xml version="1.0" encoding="utf-8"?>
<sst xmlns="http://schemas.openxmlformats.org/spreadsheetml/2006/main" count="66" uniqueCount="15">
  <si>
    <t>c</t>
  </si>
  <si>
    <t>k</t>
  </si>
  <si>
    <t>Inf</t>
  </si>
  <si>
    <t>f</t>
  </si>
  <si>
    <t>a</t>
  </si>
  <si>
    <t>b</t>
  </si>
  <si>
    <t>Σ</t>
  </si>
  <si>
    <t>c'</t>
  </si>
  <si>
    <t>c''</t>
  </si>
  <si>
    <t>Linha</t>
  </si>
  <si>
    <t>Matriz c</t>
  </si>
  <si>
    <t>Matriz k</t>
  </si>
  <si>
    <t>C1</t>
  </si>
  <si>
    <t>C2it</t>
  </si>
  <si>
    <t>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</si>
</sst>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6" formatCode="0.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Font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c(k; f, </a:t>
            </a:r>
            <a:r>
              <a:rPr lang="el-GR">
                <a:latin typeface="Calibri" panose="020F0502020204030204" pitchFamily="34" charset="0"/>
                <a:cs typeface="Calibri" panose="020F0502020204030204" pitchFamily="34" charset="0"/>
              </a:rPr>
              <a:t>Σ</a:t>
            </a:r>
            <a:r>
              <a:rPr lang="pt-BR"/>
              <a:t>, a,</a:t>
            </a:r>
            <a:r>
              <a:rPr lang="pt-BR" baseline="0"/>
              <a:t> b</a:t>
            </a:r>
            <a:r>
              <a:rPr lang="pt-BR"/>
              <a:t>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'Exemplo Base C1'!$A$4:$E$4</c:f>
              <c:numCache>
                <c:formatCode>General</c:formatCode>
                <c:ptCount val="5"/>
                <c:pt idx="0">
                  <c:v>0</c:v>
                </c:pt>
                <c:pt idx="1">
                  <c:v>5</c:v>
                </c:pt>
                <c:pt idx="2">
                  <c:v>7</c:v>
                </c:pt>
                <c:pt idx="3">
                  <c:v>10</c:v>
                </c:pt>
                <c:pt idx="4">
                  <c:v>15</c:v>
                </c:pt>
              </c:numCache>
            </c:numRef>
          </c:xVal>
          <c:yVal>
            <c:numRef>
              <c:f>'Exemplo Base C1'!$A$2:$E$2</c:f>
              <c:numCache>
                <c:formatCode>General</c:formatCode>
                <c:ptCount val="5"/>
                <c:pt idx="0">
                  <c:v>10</c:v>
                </c:pt>
                <c:pt idx="1">
                  <c:v>6</c:v>
                </c:pt>
                <c:pt idx="2">
                  <c:v>5</c:v>
                </c:pt>
                <c:pt idx="3">
                  <c:v>4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DA-45E3-AFE2-A28D6BCDF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483376"/>
        <c:axId val="299484360"/>
      </c:scatterChart>
      <c:scatterChart>
        <c:scatterStyle val="smooth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'Exemplo Base C1'!$V$2:$V$232</c:f>
              <c:numCache>
                <c:formatCode>General</c:formatCode>
                <c:ptCount val="2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</c:numCache>
            </c:numRef>
          </c:xVal>
          <c:yVal>
            <c:numRef>
              <c:f>'Exemplo Base C1'!$W$2:$W$232</c:f>
              <c:numCache>
                <c:formatCode>General</c:formatCode>
                <c:ptCount val="231"/>
                <c:pt idx="0">
                  <c:v>10.000000000000007</c:v>
                </c:pt>
                <c:pt idx="1">
                  <c:v>9.9001398060549874</c:v>
                </c:pt>
                <c:pt idx="2">
                  <c:v>9.8009237577896755</c:v>
                </c:pt>
                <c:pt idx="3">
                  <c:v>9.7026102921108404</c:v>
                </c:pt>
                <c:pt idx="4">
                  <c:v>9.6052990522960329</c:v>
                </c:pt>
                <c:pt idx="5">
                  <c:v>9.5090286611119907</c:v>
                </c:pt>
                <c:pt idx="6">
                  <c:v>9.4138088229835901</c:v>
                </c:pt>
                <c:pt idx="7">
                  <c:v>9.3196340900829071</c:v>
                </c:pt>
                <c:pt idx="8">
                  <c:v>9.2264906710632602</c:v>
                </c:pt>
                <c:pt idx="9">
                  <c:v>9.1343601119170899</c:v>
                </c:pt>
                <c:pt idx="10">
                  <c:v>9.0432214081752278</c:v>
                </c:pt>
                <c:pt idx="11">
                  <c:v>8.9530522675962416</c:v>
                </c:pt>
                <c:pt idx="12">
                  <c:v>8.8638298859294409</c:v>
                </c:pt>
                <c:pt idx="13">
                  <c:v>8.7755314312467902</c:v>
                </c:pt>
                <c:pt idx="14">
                  <c:v>8.6881343479175186</c:v>
                </c:pt>
                <c:pt idx="15">
                  <c:v>8.6016165460338172</c:v>
                </c:pt>
                <c:pt idx="16">
                  <c:v>8.5159565166299203</c:v>
                </c:pt>
                <c:pt idx="17">
                  <c:v>8.4311333981293259</c:v>
                </c:pt>
                <c:pt idx="18">
                  <c:v>8.3471270104321391</c:v>
                </c:pt>
                <c:pt idx="19">
                  <c:v>8.2639178674382592</c:v>
                </c:pt>
                <c:pt idx="20">
                  <c:v>8.1814871752202833</c:v>
                </c:pt>
                <c:pt idx="21">
                  <c:v>8.0998168207279946</c:v>
                </c:pt>
                <c:pt idx="22">
                  <c:v>8.0188893543611641</c:v>
                </c:pt>
                <c:pt idx="23">
                  <c:v>7.9386879687069296</c:v>
                </c:pt>
                <c:pt idx="24">
                  <c:v>7.8591964750290302</c:v>
                </c:pt>
                <c:pt idx="25">
                  <c:v>7.7803992786072484</c:v>
                </c:pt>
                <c:pt idx="26">
                  <c:v>7.7022813536844268</c:v>
                </c:pt>
                <c:pt idx="27">
                  <c:v>7.6248282185403298</c:v>
                </c:pt>
                <c:pt idx="28">
                  <c:v>7.5480259110428349</c:v>
                </c:pt>
                <c:pt idx="29">
                  <c:v>7.4718609649076342</c:v>
                </c:pt>
                <c:pt idx="30">
                  <c:v>7.3963203868132368</c:v>
                </c:pt>
                <c:pt idx="31">
                  <c:v>7.3213916344575765</c:v>
                </c:pt>
                <c:pt idx="32">
                  <c:v>7.2470625956003829</c:v>
                </c:pt>
                <c:pt idx="33">
                  <c:v>7.1733215681053579</c:v>
                </c:pt>
                <c:pt idx="34">
                  <c:v>7.1001572409752924</c:v>
                </c:pt>
                <c:pt idx="35">
                  <c:v>7.0275586763592059</c:v>
                </c:pt>
                <c:pt idx="36">
                  <c:v>6.9555152925009622</c:v>
                </c:pt>
                <c:pt idx="37">
                  <c:v>6.8840168475927328</c:v>
                </c:pt>
                <c:pt idx="38">
                  <c:v>6.8130534244930843</c:v>
                </c:pt>
                <c:pt idx="39">
                  <c:v>6.7426154162677108</c:v>
                </c:pt>
                <c:pt idx="40">
                  <c:v>6.6726935125102429</c:v>
                </c:pt>
                <c:pt idx="41">
                  <c:v>6.6032786864007704</c:v>
                </c:pt>
                <c:pt idx="42">
                  <c:v>6.5343621824610736</c:v>
                </c:pt>
                <c:pt idx="43">
                  <c:v>6.4659355049663958</c:v>
                </c:pt>
                <c:pt idx="44">
                  <c:v>6.3979904069756088</c:v>
                </c:pt>
                <c:pt idx="45">
                  <c:v>6.3305188799433694</c:v>
                </c:pt>
                <c:pt idx="46">
                  <c:v>6.2635131438795</c:v>
                </c:pt>
                <c:pt idx="47">
                  <c:v>6.1969656380230944</c:v>
                </c:pt>
                <c:pt idx="48">
                  <c:v>6.1308690120003462</c:v>
                </c:pt>
                <c:pt idx="49">
                  <c:v>6.0652161174372807</c:v>
                </c:pt>
                <c:pt idx="50">
                  <c:v>5.9999999999999991</c:v>
                </c:pt>
                <c:pt idx="51">
                  <c:v>5.9361626885736767</c:v>
                </c:pt>
                <c:pt idx="52">
                  <c:v>5.8745480704414028</c:v>
                </c:pt>
                <c:pt idx="53">
                  <c:v>5.8150041281364082</c:v>
                </c:pt>
                <c:pt idx="54">
                  <c:v>5.757382582285218</c:v>
                </c:pt>
                <c:pt idx="55">
                  <c:v>5.7015399990086522</c:v>
                </c:pt>
                <c:pt idx="56">
                  <c:v>5.6473386546646722</c:v>
                </c:pt>
                <c:pt idx="57">
                  <c:v>5.5946471819496821</c:v>
                </c:pt>
                <c:pt idx="58">
                  <c:v>5.5433410223983</c:v>
                </c:pt>
                <c:pt idx="59">
                  <c:v>5.4933027103255645</c:v>
                </c:pt>
                <c:pt idx="60">
                  <c:v>5.4444220124867693</c:v>
                </c:pt>
                <c:pt idx="61">
                  <c:v>5.396595946403318</c:v>
                </c:pt>
                <c:pt idx="62">
                  <c:v>5.3497286985993071</c:v>
                </c:pt>
                <c:pt idx="63">
                  <c:v>5.3037314620618554</c:v>
                </c:pt>
                <c:pt idx="64">
                  <c:v>5.2585222101973859</c:v>
                </c:pt>
                <c:pt idx="65">
                  <c:v>5.2140254224982598</c:v>
                </c:pt>
                <c:pt idx="66">
                  <c:v>5.1701717751282654</c:v>
                </c:pt>
                <c:pt idx="67">
                  <c:v>5.1268978077306651</c:v>
                </c:pt>
                <c:pt idx="68">
                  <c:v>5.0841455759918119</c:v>
                </c:pt>
                <c:pt idx="69">
                  <c:v>5.0418622978767171</c:v>
                </c:pt>
                <c:pt idx="70">
                  <c:v>5.0000000000000009</c:v>
                </c:pt>
                <c:pt idx="71">
                  <c:v>4.9586742939540835</c:v>
                </c:pt>
                <c:pt idx="72">
                  <c:v>4.9180204131061993</c:v>
                </c:pt>
                <c:pt idx="73">
                  <c:v>4.8780234508586373</c:v>
                </c:pt>
                <c:pt idx="74">
                  <c:v>4.8386688151336745</c:v>
                </c:pt>
                <c:pt idx="75">
                  <c:v>4.7999422253902981</c:v>
                </c:pt>
                <c:pt idx="76">
                  <c:v>4.7618297092624031</c:v>
                </c:pt>
                <c:pt idx="77">
                  <c:v>4.7243175988681436</c:v>
                </c:pt>
                <c:pt idx="78">
                  <c:v>4.6873925268354011</c:v>
                </c:pt>
                <c:pt idx="79">
                  <c:v>4.6510414220839582</c:v>
                </c:pt>
                <c:pt idx="80">
                  <c:v>4.615251505401087</c:v>
                </c:pt>
                <c:pt idx="81">
                  <c:v>4.5800102848436568</c:v>
                </c:pt>
                <c:pt idx="82">
                  <c:v>4.5453055509965958</c:v>
                </c:pt>
                <c:pt idx="83">
                  <c:v>4.5111253721146012</c:v>
                </c:pt>
                <c:pt idx="84">
                  <c:v>4.4774580891712636</c:v>
                </c:pt>
                <c:pt idx="85">
                  <c:v>4.4442923108373256</c:v>
                </c:pt>
                <c:pt idx="86">
                  <c:v>4.4116169084075683</c:v>
                </c:pt>
                <c:pt idx="87">
                  <c:v>4.379421010693779</c:v>
                </c:pt>
                <c:pt idx="88">
                  <c:v>4.3476939988993788</c:v>
                </c:pt>
                <c:pt idx="89">
                  <c:v>4.3164255014896762</c:v>
                </c:pt>
                <c:pt idx="90">
                  <c:v>4.2856053890700974</c:v>
                </c:pt>
                <c:pt idx="91">
                  <c:v>4.2552237692834431</c:v>
                </c:pt>
                <c:pt idx="92">
                  <c:v>4.2252709817359024</c:v>
                </c:pt>
                <c:pt idx="93">
                  <c:v>4.1957375929604268</c:v>
                </c:pt>
                <c:pt idx="94">
                  <c:v>4.1666143914250693</c:v>
                </c:pt>
                <c:pt idx="95">
                  <c:v>4.1378923825928773</c:v>
                </c:pt>
                <c:pt idx="96">
                  <c:v>4.1095627840391664</c:v>
                </c:pt>
                <c:pt idx="97">
                  <c:v>4.081617020631148</c:v>
                </c:pt>
                <c:pt idx="98">
                  <c:v>4.0540467197742371</c:v>
                </c:pt>
                <c:pt idx="99">
                  <c:v>4.0268437067287399</c:v>
                </c:pt>
                <c:pt idx="100">
                  <c:v>4</c:v>
                </c:pt>
                <c:pt idx="101">
                  <c:v>3.9734019769057483</c:v>
                </c:pt>
                <c:pt idx="102">
                  <c:v>3.9469458585508868</c:v>
                </c:pt>
                <c:pt idx="103">
                  <c:v>3.9206386866713636</c:v>
                </c:pt>
                <c:pt idx="104">
                  <c:v>3.8944876519137885</c:v>
                </c:pt>
                <c:pt idx="105">
                  <c:v>3.8685000874601094</c:v>
                </c:pt>
                <c:pt idx="106">
                  <c:v>3.8426834623423005</c:v>
                </c:pt>
                <c:pt idx="107">
                  <c:v>3.8170453744688011</c:v>
                </c:pt>
                <c:pt idx="108">
                  <c:v>3.7915935433849732</c:v>
                </c:pt>
                <c:pt idx="109">
                  <c:v>3.7663358027900138</c:v>
                </c:pt>
                <c:pt idx="110">
                  <c:v>3.7412800928332999</c:v>
                </c:pt>
                <c:pt idx="111">
                  <c:v>3.716434452213079</c:v>
                </c:pt>
                <c:pt idx="112">
                  <c:v>3.6918070101004936</c:v>
                </c:pt>
                <c:pt idx="113">
                  <c:v>3.6674059779120078</c:v>
                </c:pt>
                <c:pt idx="114">
                  <c:v>3.6432396409529595</c:v>
                </c:pt>
                <c:pt idx="115">
                  <c:v>3.6193163499548611</c:v>
                </c:pt>
                <c:pt idx="116">
                  <c:v>3.595644512528736</c:v>
                </c:pt>
                <c:pt idx="117">
                  <c:v>3.5722325845563851</c:v>
                </c:pt>
                <c:pt idx="118">
                  <c:v>3.5490890615408937</c:v>
                </c:pt>
                <c:pt idx="119">
                  <c:v>3.5262224699374549</c:v>
                </c:pt>
                <c:pt idx="120">
                  <c:v>3.5036413584846713</c:v>
                </c:pt>
                <c:pt idx="121">
                  <c:v>3.481354289556112</c:v>
                </c:pt>
                <c:pt idx="122">
                  <c:v>3.4593698305511253</c:v>
                </c:pt>
                <c:pt idx="123">
                  <c:v>3.4376965453431367</c:v>
                </c:pt>
                <c:pt idx="124">
                  <c:v>3.4163429858031051</c:v>
                </c:pt>
                <c:pt idx="125">
                  <c:v>3.3953176834147634</c:v>
                </c:pt>
                <c:pt idx="126">
                  <c:v>3.3746291409976941</c:v>
                </c:pt>
                <c:pt idx="127">
                  <c:v>3.3542858245533544</c:v>
                </c:pt>
                <c:pt idx="128">
                  <c:v>3.3342961552483068</c:v>
                </c:pt>
                <c:pt idx="129">
                  <c:v>3.3146685015481587</c:v>
                </c:pt>
                <c:pt idx="130">
                  <c:v>3.2954111715148038</c:v>
                </c:pt>
                <c:pt idx="131">
                  <c:v>3.2765324052785942</c:v>
                </c:pt>
                <c:pt idx="132">
                  <c:v>3.2580403676964309</c:v>
                </c:pt>
                <c:pt idx="133">
                  <c:v>3.2399431412057851</c:v>
                </c:pt>
                <c:pt idx="134">
                  <c:v>3.2222487188836944</c:v>
                </c:pt>
                <c:pt idx="135">
                  <c:v>3.2049649977192267</c:v>
                </c:pt>
                <c:pt idx="136">
                  <c:v>3.1880997721068347</c:v>
                </c:pt>
                <c:pt idx="137">
                  <c:v>3.1716607275672857</c:v>
                </c:pt>
                <c:pt idx="138">
                  <c:v>3.1556554347021439</c:v>
                </c:pt>
                <c:pt idx="139">
                  <c:v>3.1400913433868958</c:v>
                </c:pt>
                <c:pt idx="140">
                  <c:v>3.1249757772071156</c:v>
                </c:pt>
                <c:pt idx="141">
                  <c:v>3.1103159281412687</c:v>
                </c:pt>
                <c:pt idx="142">
                  <c:v>3.0961188514932694</c:v>
                </c:pt>
                <c:pt idx="143">
                  <c:v>3.0823914610768277</c:v>
                </c:pt>
                <c:pt idx="144">
                  <c:v>3.0691405246534025</c:v>
                </c:pt>
                <c:pt idx="145">
                  <c:v>3.0563726596246532</c:v>
                </c:pt>
                <c:pt idx="146">
                  <c:v>3.0440943289797318</c:v>
                </c:pt>
                <c:pt idx="147">
                  <c:v>3.0323118374973781</c:v>
                </c:pt>
                <c:pt idx="148">
                  <c:v>3.0210313282018895</c:v>
                </c:pt>
                <c:pt idx="149">
                  <c:v>3.0102587790718829</c:v>
                </c:pt>
                <c:pt idx="150">
                  <c:v>3.0000000000000204</c:v>
                </c:pt>
                <c:pt idx="151">
                  <c:v>2.9900355466549109</c:v>
                </c:pt>
                <c:pt idx="152">
                  <c:v>2.9801416285885871</c:v>
                </c:pt>
                <c:pt idx="153">
                  <c:v>2.9703174193698834</c:v>
                </c:pt>
                <c:pt idx="154">
                  <c:v>2.9605621064690002</c:v>
                </c:pt>
                <c:pt idx="155">
                  <c:v>2.9508748909493212</c:v>
                </c:pt>
                <c:pt idx="156">
                  <c:v>2.9412549871677349</c:v>
                </c:pt>
                <c:pt idx="157">
                  <c:v>2.9317016224831969</c:v>
                </c:pt>
                <c:pt idx="158">
                  <c:v>2.9222140369732719</c:v>
                </c:pt>
                <c:pt idx="159">
                  <c:v>2.9127914831583652</c:v>
                </c:pt>
                <c:pt idx="160">
                  <c:v>2.9034332257334081</c:v>
                </c:pt>
                <c:pt idx="161">
                  <c:v>2.8941385413067646</c:v>
                </c:pt>
                <c:pt idx="162">
                  <c:v>2.8849067181461101</c:v>
                </c:pt>
                <c:pt idx="163">
                  <c:v>2.875737055931066</c:v>
                </c:pt>
                <c:pt idx="164">
                  <c:v>2.8666288655123773</c:v>
                </c:pt>
                <c:pt idx="165">
                  <c:v>2.857581468677413</c:v>
                </c:pt>
                <c:pt idx="166">
                  <c:v>2.8485941979218161</c:v>
                </c:pt>
                <c:pt idx="167">
                  <c:v>2.8396663962270701</c:v>
                </c:pt>
                <c:pt idx="168">
                  <c:v>2.8307974168438426</c:v>
                </c:pt>
                <c:pt idx="169">
                  <c:v>2.821986623080897</c:v>
                </c:pt>
                <c:pt idx="170">
                  <c:v>2.8132333880993965</c:v>
                </c:pt>
                <c:pt idx="171">
                  <c:v>2.8045370947124661</c:v>
                </c:pt>
                <c:pt idx="172">
                  <c:v>2.7958971351898194</c:v>
                </c:pt>
                <c:pt idx="173">
                  <c:v>2.7873129110673114</c:v>
                </c:pt>
                <c:pt idx="174">
                  <c:v>2.7787838329612673</c:v>
                </c:pt>
                <c:pt idx="175">
                  <c:v>2.7703093203874429</c:v>
                </c:pt>
                <c:pt idx="176">
                  <c:v>2.7618888015844858</c:v>
                </c:pt>
                <c:pt idx="177">
                  <c:v>2.7535217133417333</c:v>
                </c:pt>
                <c:pt idx="178">
                  <c:v>2.7452075008312633</c:v>
                </c:pt>
                <c:pt idx="179">
                  <c:v>2.7369456174440452</c:v>
                </c:pt>
                <c:pt idx="180">
                  <c:v>2.7287355246300606</c:v>
                </c:pt>
                <c:pt idx="181">
                  <c:v>2.7205766917423251</c:v>
                </c:pt>
                <c:pt idx="182">
                  <c:v>2.712468595884626</c:v>
                </c:pt>
                <c:pt idx="183">
                  <c:v>2.7044107217629429</c:v>
                </c:pt>
                <c:pt idx="184">
                  <c:v>2.6964025615403964</c:v>
                </c:pt>
                <c:pt idx="185">
                  <c:v>2.6884436146956379</c:v>
                </c:pt>
                <c:pt idx="186">
                  <c:v>2.6805333878845872</c:v>
                </c:pt>
                <c:pt idx="187">
                  <c:v>2.672671394805425</c:v>
                </c:pt>
                <c:pt idx="188">
                  <c:v>2.6648571560667289</c:v>
                </c:pt>
                <c:pt idx="189">
                  <c:v>2.6570901990586995</c:v>
                </c:pt>
                <c:pt idx="190">
                  <c:v>2.6493700578273502</c:v>
                </c:pt>
                <c:pt idx="191">
                  <c:v>2.6416962729516076</c:v>
                </c:pt>
                <c:pt idx="192">
                  <c:v>2.6340683914232406</c:v>
                </c:pt>
                <c:pt idx="193">
                  <c:v>2.6264859665295148</c:v>
                </c:pt>
                <c:pt idx="194">
                  <c:v>2.6189485577385394</c:v>
                </c:pt>
                <c:pt idx="195">
                  <c:v>2.6114557305871733</c:v>
                </c:pt>
                <c:pt idx="196">
                  <c:v>2.6040070565715001</c:v>
                </c:pt>
                <c:pt idx="197">
                  <c:v>2.596602113039733</c:v>
                </c:pt>
                <c:pt idx="198">
                  <c:v>2.589240483087508</c:v>
                </c:pt>
                <c:pt idx="199">
                  <c:v>2.5819217554555269</c:v>
                </c:pt>
                <c:pt idx="200">
                  <c:v>2.5746455244294406</c:v>
                </c:pt>
                <c:pt idx="201">
                  <c:v>2.567411389741955</c:v>
                </c:pt>
                <c:pt idx="202">
                  <c:v>2.5602189564770712</c:v>
                </c:pt>
                <c:pt idx="203">
                  <c:v>2.5530678349764369</c:v>
                </c:pt>
                <c:pt idx="204">
                  <c:v>2.545957640747698</c:v>
                </c:pt>
                <c:pt idx="205">
                  <c:v>2.5388879943748757</c:v>
                </c:pt>
                <c:pt idx="206">
                  <c:v>2.5318585214306402</c:v>
                </c:pt>
                <c:pt idx="207">
                  <c:v>2.5248688523904868</c:v>
                </c:pt>
                <c:pt idx="208">
                  <c:v>2.5179186225487387</c:v>
                </c:pt>
                <c:pt idx="209">
                  <c:v>2.5110074719363329</c:v>
                </c:pt>
                <c:pt idx="210">
                  <c:v>2.5041350452403561</c:v>
                </c:pt>
                <c:pt idx="211">
                  <c:v>2.4973009917252664</c:v>
                </c:pt>
                <c:pt idx="212">
                  <c:v>2.4905049651557825</c:v>
                </c:pt>
                <c:pt idx="213">
                  <c:v>2.4837466237213697</c:v>
                </c:pt>
                <c:pt idx="214">
                  <c:v>2.4770256299623123</c:v>
                </c:pt>
                <c:pt idx="215">
                  <c:v>2.4703416506973097</c:v>
                </c:pt>
                <c:pt idx="216">
                  <c:v>2.4636943569525744</c:v>
                </c:pt>
                <c:pt idx="217">
                  <c:v>2.4570834238923789</c:v>
                </c:pt>
                <c:pt idx="218">
                  <c:v>2.4505085307510361</c:v>
                </c:pt>
                <c:pt idx="219">
                  <c:v>2.4439693607662569</c:v>
                </c:pt>
                <c:pt idx="220">
                  <c:v>2.4374656011138676</c:v>
                </c:pt>
                <c:pt idx="221">
                  <c:v>2.4309969428438456</c:v>
                </c:pt>
                <c:pt idx="222">
                  <c:v>2.4245630808176406</c:v>
                </c:pt>
                <c:pt idx="223">
                  <c:v>2.4181637136467655</c:v>
                </c:pt>
                <c:pt idx="224">
                  <c:v>2.411798543632595</c:v>
                </c:pt>
                <c:pt idx="225">
                  <c:v>2.4054672767073768</c:v>
                </c:pt>
                <c:pt idx="226">
                  <c:v>2.3991696223764136</c:v>
                </c:pt>
                <c:pt idx="227">
                  <c:v>2.3929052936613742</c:v>
                </c:pt>
                <c:pt idx="228">
                  <c:v>2.3866740070447325</c:v>
                </c:pt>
                <c:pt idx="229">
                  <c:v>2.3804754824152834</c:v>
                </c:pt>
                <c:pt idx="230">
                  <c:v>2.3743094430147353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C8-46BA-B96F-519956A64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483376"/>
        <c:axId val="299484360"/>
      </c:scatterChart>
      <c:valAx>
        <c:axId val="29948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484360"/>
        <c:crosses val="autoZero"/>
        <c:crossBetween val="midCat"/>
      </c:valAx>
      <c:valAx>
        <c:axId val="299484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483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c'</a:t>
            </a:r>
            <a:r>
              <a:rPr lang="pt-BR" sz="1400" b="0" i="0" u="none" strike="noStrike" baseline="0">
                <a:effectLst/>
              </a:rPr>
              <a:t>(k; f, </a:t>
            </a:r>
            <a:r>
              <a:rPr lang="el-GR" sz="1400" b="0" i="0" u="none" strike="noStrike" baseline="0">
                <a:effectLst/>
              </a:rPr>
              <a:t>Σ</a:t>
            </a:r>
            <a:r>
              <a:rPr lang="pt-BR" sz="1400" b="0" i="0" u="none" strike="noStrike" baseline="0">
                <a:effectLst/>
              </a:rPr>
              <a:t>, a, b)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'Exemplo Base C1'!$V$2:$V$232</c:f>
              <c:numCache>
                <c:formatCode>General</c:formatCode>
                <c:ptCount val="2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</c:numCache>
            </c:numRef>
          </c:xVal>
          <c:yVal>
            <c:numRef>
              <c:f>'Exemplo Base C1'!$X$2:$X$232</c:f>
              <c:numCache>
                <c:formatCode>0.0000</c:formatCode>
                <c:ptCount val="231"/>
                <c:pt idx="0" formatCode="General">
                  <c:v>-1</c:v>
                </c:pt>
                <c:pt idx="1">
                  <c:v>-0.99604683929106064</c:v>
                </c:pt>
                <c:pt idx="2">
                  <c:v>-0.98789275403170784</c:v>
                </c:pt>
                <c:pt idx="3">
                  <c:v>-0.97822298529735274</c:v>
                </c:pt>
                <c:pt idx="4">
                  <c:v>-0.96794206552439688</c:v>
                </c:pt>
                <c:pt idx="5">
                  <c:v>-0.95745166893132916</c:v>
                </c:pt>
                <c:pt idx="6">
                  <c:v>-0.94695523138149229</c:v>
                </c:pt>
                <c:pt idx="7">
                  <c:v>-0.93656299294952583</c:v>
                </c:pt>
                <c:pt idx="8">
                  <c:v>-0.92633648061800555</c:v>
                </c:pt>
                <c:pt idx="9">
                  <c:v>-0.91630991221704783</c:v>
                </c:pt>
                <c:pt idx="10">
                  <c:v>-0.90650144128599597</c:v>
                </c:pt>
                <c:pt idx="11">
                  <c:v>-0.89691945559615416</c:v>
                </c:pt>
                <c:pt idx="12">
                  <c:v>-0.88756628012105687</c:v>
                </c:pt>
                <c:pt idx="13">
                  <c:v>-0.87844043689930495</c:v>
                </c:pt>
                <c:pt idx="14">
                  <c:v>-0.86953806481862794</c:v>
                </c:pt>
                <c:pt idx="15">
                  <c:v>-0.8608538318283564</c:v>
                </c:pt>
                <c:pt idx="16">
                  <c:v>-0.85238153097562286</c:v>
                </c:pt>
                <c:pt idx="17">
                  <c:v>-0.84411447445623089</c:v>
                </c:pt>
                <c:pt idx="18">
                  <c:v>-0.83604575590325936</c:v>
                </c:pt>
                <c:pt idx="19">
                  <c:v>-0.82816842522657341</c:v>
                </c:pt>
                <c:pt idx="20">
                  <c:v>-0.82047560459209856</c:v>
                </c:pt>
                <c:pt idx="21">
                  <c:v>-0.8129605643399036</c:v>
                </c:pt>
                <c:pt idx="22">
                  <c:v>-0.80561677140736965</c:v>
                </c:pt>
                <c:pt idx="23">
                  <c:v>-0.79843791877686898</c:v>
                </c:pt>
                <c:pt idx="24">
                  <c:v>-0.79141794179386449</c:v>
                </c:pt>
                <c:pt idx="25">
                  <c:v>-0.78455102540783317</c:v>
                </c:pt>
                <c:pt idx="26">
                  <c:v>-0.77783160516882677</c:v>
                </c:pt>
                <c:pt idx="27">
                  <c:v>-0.77125436397313973</c:v>
                </c:pt>
                <c:pt idx="28">
                  <c:v>-0.76481422596779425</c:v>
                </c:pt>
                <c:pt idx="29">
                  <c:v>-0.75850634861375366</c:v>
                </c:pt>
                <c:pt idx="30">
                  <c:v>-0.75232611361781265</c:v>
                </c:pt>
                <c:pt idx="31">
                  <c:v>-0.7462691172365199</c:v>
                </c:pt>
                <c:pt idx="32">
                  <c:v>-0.74033116030747959</c:v>
                </c:pt>
                <c:pt idx="33">
                  <c:v>-0.73450823825686218</c:v>
                </c:pt>
                <c:pt idx="34">
                  <c:v>-0.72879653125506005</c:v>
                </c:pt>
                <c:pt idx="35">
                  <c:v>-0.72319239463680318</c:v>
                </c:pt>
                <c:pt idx="36">
                  <c:v>-0.7176923496618115</c:v>
                </c:pt>
                <c:pt idx="37">
                  <c:v>-0.71229307466299396</c:v>
                </c:pt>
                <c:pt idx="38">
                  <c:v>-0.70699139660826815</c:v>
                </c:pt>
                <c:pt idx="39">
                  <c:v>-0.70178428308711449</c:v>
                </c:pt>
                <c:pt idx="40">
                  <c:v>-0.69666883472236529</c:v>
                </c:pt>
                <c:pt idx="41">
                  <c:v>-0.69164227800034084</c:v>
                </c:pt>
                <c:pt idx="42">
                  <c:v>-0.68670195850739324</c:v>
                </c:pt>
                <c:pt idx="43">
                  <c:v>-0.68184533455760854</c:v>
                </c:pt>
                <c:pt idx="44">
                  <c:v>-0.67706997119434953</c:v>
                </c:pt>
                <c:pt idx="45">
                  <c:v>-0.67237353454719484</c:v>
                </c:pt>
                <c:pt idx="46">
                  <c:v>-0.66775378652534045</c:v>
                </c:pt>
                <c:pt idx="47">
                  <c:v>-0.66320857982853443</c:v>
                </c:pt>
                <c:pt idx="48">
                  <c:v>-0.65873585325693662</c:v>
                </c:pt>
                <c:pt idx="49">
                  <c:v>-0.65433362730185285</c:v>
                </c:pt>
                <c:pt idx="50">
                  <c:v>-0.64999999999999991</c:v>
                </c:pt>
                <c:pt idx="51">
                  <c:v>-0.62700381022086826</c:v>
                </c:pt>
                <c:pt idx="52">
                  <c:v>-0.60554214306434861</c:v>
                </c:pt>
                <c:pt idx="53">
                  <c:v>-0.58558401936858628</c:v>
                </c:pt>
                <c:pt idx="54">
                  <c:v>-0.56708609766737128</c:v>
                </c:pt>
                <c:pt idx="55">
                  <c:v>-0.5499952143506871</c:v>
                </c:pt>
                <c:pt idx="56">
                  <c:v>-0.53425069285220905</c:v>
                </c:pt>
                <c:pt idx="57">
                  <c:v>-0.51978640563342304</c:v>
                </c:pt>
                <c:pt idx="58">
                  <c:v>-0.50653258426459469</c:v>
                </c:pt>
                <c:pt idx="59">
                  <c:v>-0.49441738181222267</c:v>
                </c:pt>
                <c:pt idx="60">
                  <c:v>-0.48336819834052086</c:v>
                </c:pt>
                <c:pt idx="61">
                  <c:v>-0.47331278495377321</c:v>
                </c:pt>
                <c:pt idx="62">
                  <c:v>-0.46418014477860553</c:v>
                </c:pt>
                <c:pt idx="63">
                  <c:v>-0.45590125092342082</c:v>
                </c:pt>
                <c:pt idx="64">
                  <c:v>-0.44840960204101915</c:v>
                </c:pt>
                <c:pt idx="65">
                  <c:v>-0.44164163591017003</c:v>
                </c:pt>
                <c:pt idx="66">
                  <c:v>-0.43553702065705119</c:v>
                </c:pt>
                <c:pt idx="67">
                  <c:v>-0.43003884203707116</c:v>
                </c:pt>
                <c:pt idx="68">
                  <c:v>-0.42509370373753652</c:v>
                </c:pt>
                <c:pt idx="69">
                  <c:v>-0.42065175605790073</c:v>
                </c:pt>
                <c:pt idx="70">
                  <c:v>-0.41666666666666646</c:v>
                </c:pt>
                <c:pt idx="71">
                  <c:v>-0.40987282668676617</c:v>
                </c:pt>
                <c:pt idx="72">
                  <c:v>-0.40322963417401453</c:v>
                </c:pt>
                <c:pt idx="73">
                  <c:v>-0.39673393040825494</c:v>
                </c:pt>
                <c:pt idx="74">
                  <c:v>-0.39038258443120349</c:v>
                </c:pt>
                <c:pt idx="75">
                  <c:v>-0.38417249709697904</c:v>
                </c:pt>
                <c:pt idx="76">
                  <c:v>-0.37810060460062189</c:v>
                </c:pt>
                <c:pt idx="77">
                  <c:v>-0.372163881534253</c:v>
                </c:pt>
                <c:pt idx="78">
                  <c:v>-0.36635934351610444</c:v>
                </c:pt>
                <c:pt idx="79">
                  <c:v>-0.36068404943361759</c:v>
                </c:pt>
                <c:pt idx="80">
                  <c:v>-0.35513510333812998</c:v>
                </c:pt>
                <c:pt idx="81">
                  <c:v>-0.34970965602530624</c:v>
                </c:pt>
                <c:pt idx="82">
                  <c:v>-0.34440490633241039</c:v>
                </c:pt>
                <c:pt idx="83">
                  <c:v>-0.33921810218072368</c:v>
                </c:pt>
                <c:pt idx="84">
                  <c:v>-0.33414654138885908</c:v>
                </c:pt>
                <c:pt idx="85">
                  <c:v>-0.32918757228040396</c:v>
                </c:pt>
                <c:pt idx="86">
                  <c:v>-0.32433859410720117</c:v>
                </c:pt>
                <c:pt idx="87">
                  <c:v>-0.3195970573076462</c:v>
                </c:pt>
                <c:pt idx="88">
                  <c:v>-0.31496046361761665</c:v>
                </c:pt>
                <c:pt idx="89">
                  <c:v>-0.3104263660500422</c:v>
                </c:pt>
                <c:pt idx="90">
                  <c:v>-0.30599236875765695</c:v>
                </c:pt>
                <c:pt idx="91">
                  <c:v>-0.30165612679214393</c:v>
                </c:pt>
                <c:pt idx="92">
                  <c:v>-0.29741534577165873</c:v>
                </c:pt>
                <c:pt idx="93">
                  <c:v>-0.29326778146761096</c:v>
                </c:pt>
                <c:pt idx="94">
                  <c:v>-0.2892112393205698</c:v>
                </c:pt>
                <c:pt idx="95">
                  <c:v>-0.28524357389423588</c:v>
                </c:pt>
                <c:pt idx="96">
                  <c:v>-0.28136268827557992</c:v>
                </c:pt>
                <c:pt idx="97">
                  <c:v>-0.2775665334284832</c:v>
                </c:pt>
                <c:pt idx="98">
                  <c:v>-0.27385310750751352</c:v>
                </c:pt>
                <c:pt idx="99">
                  <c:v>-0.27022045513783516</c:v>
                </c:pt>
                <c:pt idx="100">
                  <c:v>-0.26666666666666861</c:v>
                </c:pt>
                <c:pt idx="101">
                  <c:v>-0.26528231630064758</c:v>
                </c:pt>
                <c:pt idx="102">
                  <c:v>-0.26382831356214853</c:v>
                </c:pt>
                <c:pt idx="103">
                  <c:v>-0.26230313855424636</c:v>
                </c:pt>
                <c:pt idx="104">
                  <c:v>-0.26070533351255587</c:v>
                </c:pt>
                <c:pt idx="105">
                  <c:v>-0.2590335060115968</c:v>
                </c:pt>
                <c:pt idx="106">
                  <c:v>-0.25728633195677353</c:v>
                </c:pt>
                <c:pt idx="107">
                  <c:v>-0.25546255835650689</c:v>
                </c:pt>
                <c:pt idx="108">
                  <c:v>-0.25356100587024388</c:v>
                </c:pt>
                <c:pt idx="109">
                  <c:v>-0.25158057112923415</c:v>
                </c:pt>
                <c:pt idx="110">
                  <c:v>-0.24952022882806513</c:v>
                </c:pt>
                <c:pt idx="111">
                  <c:v>-0.24737903358601609</c:v>
                </c:pt>
                <c:pt idx="112">
                  <c:v>-0.24515612157829536</c:v>
                </c:pt>
                <c:pt idx="113">
                  <c:v>-0.24285071193818375</c:v>
                </c:pt>
                <c:pt idx="114">
                  <c:v>-0.24046210793200284</c:v>
                </c:pt>
                <c:pt idx="115">
                  <c:v>-0.2379896979096644</c:v>
                </c:pt>
                <c:pt idx="116">
                  <c:v>-0.23543295603434355</c:v>
                </c:pt>
                <c:pt idx="117">
                  <c:v>-0.23279144279552977</c:v>
                </c:pt>
                <c:pt idx="118">
                  <c:v>-0.23006480531037721</c:v>
                </c:pt>
                <c:pt idx="119">
                  <c:v>-0.22725277741887384</c:v>
                </c:pt>
                <c:pt idx="120">
                  <c:v>-0.22435517957888929</c:v>
                </c:pt>
                <c:pt idx="121">
                  <c:v>-0.22137191856764882</c:v>
                </c:pt>
                <c:pt idx="122">
                  <c:v>-0.21830298699660522</c:v>
                </c:pt>
                <c:pt idx="123">
                  <c:v>-0.21514846264705567</c:v>
                </c:pt>
                <c:pt idx="124">
                  <c:v>-0.21190850763416846</c:v>
                </c:pt>
                <c:pt idx="125">
                  <c:v>-0.20858336740735239</c:v>
                </c:pt>
                <c:pt idx="126">
                  <c:v>-0.20517336959512467</c:v>
                </c:pt>
                <c:pt idx="127">
                  <c:v>-0.20167892270279952</c:v>
                </c:pt>
                <c:pt idx="128">
                  <c:v>-0.19810051467145418</c:v>
                </c:pt>
                <c:pt idx="129">
                  <c:v>-0.19443871130670887</c:v>
                </c:pt>
                <c:pt idx="130">
                  <c:v>-0.19069415458590822</c:v>
                </c:pt>
                <c:pt idx="131">
                  <c:v>-0.1868675608522985</c:v>
                </c:pt>
                <c:pt idx="132">
                  <c:v>-0.18295971890476848</c:v>
                </c:pt>
                <c:pt idx="133">
                  <c:v>-0.17897148799166596</c:v>
                </c:pt>
                <c:pt idx="134">
                  <c:v>-0.17490379571711445</c:v>
                </c:pt>
                <c:pt idx="135">
                  <c:v>-0.1707576358681363</c:v>
                </c:pt>
                <c:pt idx="136">
                  <c:v>-0.16653406617075439</c:v>
                </c:pt>
                <c:pt idx="137">
                  <c:v>-0.16223420598307614</c:v>
                </c:pt>
                <c:pt idx="138">
                  <c:v>-0.15785923393318679</c:v>
                </c:pt>
                <c:pt idx="139">
                  <c:v>-0.15341038550947306</c:v>
                </c:pt>
                <c:pt idx="140">
                  <c:v>-0.14888895061078466</c:v>
                </c:pt>
                <c:pt idx="141">
                  <c:v>-0.14429627106360943</c:v>
                </c:pt>
                <c:pt idx="142">
                  <c:v>-0.13963373811319446</c:v>
                </c:pt>
                <c:pt idx="143">
                  <c:v>-0.13490278989529347</c:v>
                </c:pt>
                <c:pt idx="144">
                  <c:v>-0.13010490889495818</c:v>
                </c:pt>
                <c:pt idx="145">
                  <c:v>-0.1252416193985223</c:v>
                </c:pt>
                <c:pt idx="146">
                  <c:v>-0.12031448494465535</c:v>
                </c:pt>
                <c:pt idx="147">
                  <c:v>-0.11532510578008415</c:v>
                </c:pt>
                <c:pt idx="148">
                  <c:v>-0.11027511632529829</c:v>
                </c:pt>
                <c:pt idx="149">
                  <c:v>-0.10516618265527855</c:v>
                </c:pt>
                <c:pt idx="150">
                  <c:v>-9.999999999999995E-2</c:v>
                </c:pt>
                <c:pt idx="151">
                  <c:v>-9.9290467930403012E-2</c:v>
                </c:pt>
                <c:pt idx="152">
                  <c:v>-9.858927072851717E-2</c:v>
                </c:pt>
                <c:pt idx="153">
                  <c:v>-9.7896267810547111E-2</c:v>
                </c:pt>
                <c:pt idx="154">
                  <c:v>-9.7211321718194757E-2</c:v>
                </c:pt>
                <c:pt idx="155">
                  <c:v>-9.653429803200235E-2</c:v>
                </c:pt>
                <c:pt idx="156">
                  <c:v>-9.5865065287579973E-2</c:v>
                </c:pt>
                <c:pt idx="157">
                  <c:v>-9.5203494894604931E-2</c:v>
                </c:pt>
                <c:pt idx="158">
                  <c:v>-9.4549461058486176E-2</c:v>
                </c:pt>
                <c:pt idx="159">
                  <c:v>-9.3902840704591081E-2</c:v>
                </c:pt>
                <c:pt idx="160">
                  <c:v>-9.3263513404937298E-2</c:v>
                </c:pt>
                <c:pt idx="161">
                  <c:v>-9.2631361307255342E-2</c:v>
                </c:pt>
                <c:pt idx="162">
                  <c:v>-9.2006269066332816E-2</c:v>
                </c:pt>
                <c:pt idx="163">
                  <c:v>-9.1388123777554536E-2</c:v>
                </c:pt>
                <c:pt idx="164">
                  <c:v>-9.0776814912556819E-2</c:v>
                </c:pt>
                <c:pt idx="165">
                  <c:v>-9.017223425691645E-2</c:v>
                </c:pt>
                <c:pt idx="166">
                  <c:v>-8.9574275849800822E-2</c:v>
                </c:pt>
                <c:pt idx="167">
                  <c:v>-8.8982835925505752E-2</c:v>
                </c:pt>
                <c:pt idx="168">
                  <c:v>-8.8397812856812585E-2</c:v>
                </c:pt>
                <c:pt idx="169">
                  <c:v>-8.7819107100098867E-2</c:v>
                </c:pt>
                <c:pt idx="170">
                  <c:v>-8.7246621142138533E-2</c:v>
                </c:pt>
                <c:pt idx="171">
                  <c:v>-8.6680259448531569E-2</c:v>
                </c:pt>
                <c:pt idx="172">
                  <c:v>-8.6119928413704416E-2</c:v>
                </c:pt>
                <c:pt idx="173">
                  <c:v>-8.5565536312425292E-2</c:v>
                </c:pt>
                <c:pt idx="174">
                  <c:v>-8.5016993252781614E-2</c:v>
                </c:pt>
                <c:pt idx="175">
                  <c:v>-8.4474211130566787E-2</c:v>
                </c:pt>
                <c:pt idx="176">
                  <c:v>-8.3937103585028261E-2</c:v>
                </c:pt>
                <c:pt idx="177">
                  <c:v>-8.340558595592884E-2</c:v>
                </c:pt>
                <c:pt idx="178">
                  <c:v>-8.2879575241875586E-2</c:v>
                </c:pt>
                <c:pt idx="179">
                  <c:v>-8.2358990059873544E-2</c:v>
                </c:pt>
                <c:pt idx="180">
                  <c:v>-8.1843750606061014E-2</c:v>
                </c:pt>
                <c:pt idx="181">
                  <c:v>-8.1333778617587379E-2</c:v>
                </c:pt>
                <c:pt idx="182">
                  <c:v>-8.0828997335593719E-2</c:v>
                </c:pt>
                <c:pt idx="183">
                  <c:v>-8.0329331469259371E-2</c:v>
                </c:pt>
                <c:pt idx="184">
                  <c:v>-7.9834707160878954E-2</c:v>
                </c:pt>
                <c:pt idx="185">
                  <c:v>-7.9345051951934614E-2</c:v>
                </c:pt>
                <c:pt idx="186">
                  <c:v>-7.8860294750131288E-2</c:v>
                </c:pt>
                <c:pt idx="187">
                  <c:v>-7.8380365797362503E-2</c:v>
                </c:pt>
                <c:pt idx="188">
                  <c:v>-7.7905196638575869E-2</c:v>
                </c:pt>
                <c:pt idx="189">
                  <c:v>-7.743472009151009E-2</c:v>
                </c:pt>
                <c:pt idx="190">
                  <c:v>-7.6968870217273083E-2</c:v>
                </c:pt>
                <c:pt idx="191">
                  <c:v>-7.6507582291735696E-2</c:v>
                </c:pt>
                <c:pt idx="192">
                  <c:v>-7.6050792777713608E-2</c:v>
                </c:pt>
                <c:pt idx="193">
                  <c:v>-7.5598439297912406E-2</c:v>
                </c:pt>
                <c:pt idx="194">
                  <c:v>-7.5150460608611483E-2</c:v>
                </c:pt>
                <c:pt idx="195">
                  <c:v>-7.4706796574063122E-2</c:v>
                </c:pt>
                <c:pt idx="196">
                  <c:v>-7.4267388141584442E-2</c:v>
                </c:pt>
                <c:pt idx="197">
                  <c:v>-7.3832177317319336E-2</c:v>
                </c:pt>
                <c:pt idx="198">
                  <c:v>-7.3401107142650759E-2</c:v>
                </c:pt>
                <c:pt idx="199">
                  <c:v>-7.2974121671242051E-2</c:v>
                </c:pt>
                <c:pt idx="200">
                  <c:v>-7.2551165946688076E-2</c:v>
                </c:pt>
                <c:pt idx="201">
                  <c:v>-7.2132185980757157E-2</c:v>
                </c:pt>
                <c:pt idx="202">
                  <c:v>-7.171712873220587E-2</c:v>
                </c:pt>
                <c:pt idx="203">
                  <c:v>-7.1305942086148599E-2</c:v>
                </c:pt>
                <c:pt idx="204">
                  <c:v>-7.0898574833965708E-2</c:v>
                </c:pt>
                <c:pt idx="205">
                  <c:v>-7.0494976653732971E-2</c:v>
                </c:pt>
                <c:pt idx="206">
                  <c:v>-7.0095098091157354E-2</c:v>
                </c:pt>
                <c:pt idx="207">
                  <c:v>-6.9698890541003283E-2</c:v>
                </c:pt>
                <c:pt idx="208">
                  <c:v>-6.9306306228994988E-2</c:v>
                </c:pt>
                <c:pt idx="209">
                  <c:v>-6.8917298194180729E-2</c:v>
                </c:pt>
                <c:pt idx="210">
                  <c:v>-6.8531820271744801E-2</c:v>
                </c:pt>
                <c:pt idx="211">
                  <c:v>-6.8149827076254596E-2</c:v>
                </c:pt>
                <c:pt idx="212">
                  <c:v>-6.7771273985329505E-2</c:v>
                </c:pt>
                <c:pt idx="213">
                  <c:v>-6.7396117123719207E-2</c:v>
                </c:pt>
                <c:pt idx="214">
                  <c:v>-6.702431334777989E-2</c:v>
                </c:pt>
                <c:pt idx="215">
                  <c:v>-6.6655820230336255E-2</c:v>
                </c:pt>
                <c:pt idx="216">
                  <c:v>-6.6290596045918332E-2</c:v>
                </c:pt>
                <c:pt idx="217">
                  <c:v>-6.5928599756362574E-2</c:v>
                </c:pt>
                <c:pt idx="218">
                  <c:v>-6.5569790996766034E-2</c:v>
                </c:pt>
                <c:pt idx="219">
                  <c:v>-6.5214130061784698E-2</c:v>
                </c:pt>
                <c:pt idx="220">
                  <c:v>-6.4861577892264627E-2</c:v>
                </c:pt>
                <c:pt idx="221">
                  <c:v>-6.4512096062197932E-2</c:v>
                </c:pt>
                <c:pt idx="222">
                  <c:v>-6.4165646765993553E-2</c:v>
                </c:pt>
                <c:pt idx="223">
                  <c:v>-6.3822192806053932E-2</c:v>
                </c:pt>
                <c:pt idx="224">
                  <c:v>-6.3481697580649879E-2</c:v>
                </c:pt>
                <c:pt idx="225">
                  <c:v>-6.3144125072084112E-2</c:v>
                </c:pt>
                <c:pt idx="226">
                  <c:v>-6.2809439835136288E-2</c:v>
                </c:pt>
                <c:pt idx="227">
                  <c:v>-6.2477606985781545E-2</c:v>
                </c:pt>
                <c:pt idx="228">
                  <c:v>-6.2148592190174691E-2</c:v>
                </c:pt>
                <c:pt idx="229">
                  <c:v>-6.182236165389348E-2</c:v>
                </c:pt>
                <c:pt idx="230">
                  <c:v>-6.1498882111432687E-2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945-44C1-BEC0-876196CB3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483376"/>
        <c:axId val="299484360"/>
      </c:scatterChart>
      <c:valAx>
        <c:axId val="29948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484360"/>
        <c:crosses val="autoZero"/>
        <c:crossBetween val="midCat"/>
      </c:valAx>
      <c:valAx>
        <c:axId val="299484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483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c''</a:t>
            </a:r>
            <a:r>
              <a:rPr lang="pt-BR" sz="1400" b="0" i="0" u="none" strike="noStrike" baseline="0">
                <a:effectLst/>
              </a:rPr>
              <a:t>(k; f, </a:t>
            </a:r>
            <a:r>
              <a:rPr lang="el-GR" sz="1400" b="0" i="0" u="none" strike="noStrike" baseline="0">
                <a:effectLst/>
              </a:rPr>
              <a:t>Σ</a:t>
            </a:r>
            <a:r>
              <a:rPr lang="pt-BR" sz="1400" b="0" i="0" u="none" strike="noStrike" baseline="0">
                <a:effectLst/>
              </a:rPr>
              <a:t>, a, b)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'Exemplo Base C1'!$V$2:$V$232</c:f>
              <c:numCache>
                <c:formatCode>General</c:formatCode>
                <c:ptCount val="2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</c:numCache>
            </c:numRef>
          </c:xVal>
          <c:yVal>
            <c:numRef>
              <c:f>'Exemplo Base C1'!$Y$2:$Y$232</c:f>
              <c:numCache>
                <c:formatCode>0.0000</c:formatCode>
                <c:ptCount val="231"/>
                <c:pt idx="0" formatCode="General">
                  <c:v>0</c:v>
                </c:pt>
                <c:pt idx="1">
                  <c:v>6.8044375215871464E-2</c:v>
                </c:pt>
                <c:pt idx="2">
                  <c:v>9.1349880117277724E-2</c:v>
                </c:pt>
                <c:pt idx="3">
                  <c:v>0.10068026919904992</c:v>
                </c:pt>
                <c:pt idx="4">
                  <c:v>0.10430924436593177</c:v>
                </c:pt>
                <c:pt idx="5">
                  <c:v>0.10517482341326401</c:v>
                </c:pt>
                <c:pt idx="6">
                  <c:v>0.10457690290177968</c:v>
                </c:pt>
                <c:pt idx="7">
                  <c:v>0.10316862847535391</c:v>
                </c:pt>
                <c:pt idx="8">
                  <c:v>0.10130635353092672</c:v>
                </c:pt>
                <c:pt idx="9">
                  <c:v>9.9195757837057946E-2</c:v>
                </c:pt>
                <c:pt idx="10">
                  <c:v>9.696027310064366E-2</c:v>
                </c:pt>
                <c:pt idx="11">
                  <c:v>9.4675929003108977E-2</c:v>
                </c:pt>
                <c:pt idx="12">
                  <c:v>9.2390272944009491E-2</c:v>
                </c:pt>
                <c:pt idx="13">
                  <c:v>9.0133174388339052E-2</c:v>
                </c:pt>
                <c:pt idx="14">
                  <c:v>8.792325071885583E-2</c:v>
                </c:pt>
                <c:pt idx="15">
                  <c:v>8.5771818078109144E-2</c:v>
                </c:pt>
                <c:pt idx="16">
                  <c:v>8.3685388014622192E-2</c:v>
                </c:pt>
                <c:pt idx="17">
                  <c:v>8.1667281466290348E-2</c:v>
                </c:pt>
                <c:pt idx="18">
                  <c:v>7.9718691972421818E-2</c:v>
                </c:pt>
                <c:pt idx="19">
                  <c:v>7.7839396980202022E-2</c:v>
                </c:pt>
                <c:pt idx="20">
                  <c:v>7.6028239682098459E-2</c:v>
                </c:pt>
                <c:pt idx="21">
                  <c:v>7.428345857162208E-2</c:v>
                </c:pt>
                <c:pt idx="22">
                  <c:v>7.2602914400500082E-2</c:v>
                </c:pt>
                <c:pt idx="23">
                  <c:v>7.0984247107907489E-2</c:v>
                </c:pt>
                <c:pt idx="24">
                  <c:v>6.942498442266945E-2</c:v>
                </c:pt>
                <c:pt idx="25">
                  <c:v>6.7922616805922126E-2</c:v>
                </c:pt>
                <c:pt idx="26">
                  <c:v>6.6474648774451667E-2</c:v>
                </c:pt>
                <c:pt idx="27">
                  <c:v>6.5078633554871562E-2</c:v>
                </c:pt>
                <c:pt idx="28">
                  <c:v>6.3732195927323987E-2</c:v>
                </c:pt>
                <c:pt idx="29">
                  <c:v>6.2433046684519475E-2</c:v>
                </c:pt>
                <c:pt idx="30">
                  <c:v>6.1178991139460466E-2</c:v>
                </c:pt>
                <c:pt idx="31">
                  <c:v>5.9967933420960289E-2</c:v>
                </c:pt>
                <c:pt idx="32">
                  <c:v>5.8797877806128655E-2</c:v>
                </c:pt>
                <c:pt idx="33">
                  <c:v>5.7666927990484007E-2</c:v>
                </c:pt>
                <c:pt idx="34">
                  <c:v>5.6573284946695758E-2</c:v>
                </c:pt>
                <c:pt idx="35">
                  <c:v>5.5515243843011493E-2</c:v>
                </c:pt>
                <c:pt idx="36">
                  <c:v>5.4491190362028201E-2</c:v>
                </c:pt>
                <c:pt idx="37">
                  <c:v>5.3499596665553394E-2</c:v>
                </c:pt>
                <c:pt idx="38">
                  <c:v>5.2539017181966186E-2</c:v>
                </c:pt>
                <c:pt idx="39">
                  <c:v>5.1608084341700854E-2</c:v>
                </c:pt>
                <c:pt idx="40">
                  <c:v>5.0705504349209014E-2</c:v>
                </c:pt>
                <c:pt idx="41">
                  <c:v>4.9830053052395157E-2</c:v>
                </c:pt>
                <c:pt idx="42">
                  <c:v>4.898057195044369E-2</c:v>
                </c:pt>
                <c:pt idx="43">
                  <c:v>4.8155964366254217E-2</c:v>
                </c:pt>
                <c:pt idx="44">
                  <c:v>4.7355191798979498E-2</c:v>
                </c:pt>
                <c:pt idx="45">
                  <c:v>4.6577270464388261E-2</c:v>
                </c:pt>
                <c:pt idx="46">
                  <c:v>4.5821268025193061E-2</c:v>
                </c:pt>
                <c:pt idx="47">
                  <c:v>4.5086300509529054E-2</c:v>
                </c:pt>
                <c:pt idx="48">
                  <c:v>4.437152941302281E-2</c:v>
                </c:pt>
                <c:pt idx="49">
                  <c:v>4.3676158978039122E-2</c:v>
                </c:pt>
                <c:pt idx="50">
                  <c:v>0.23770144451216144</c:v>
                </c:pt>
                <c:pt idx="51">
                  <c:v>0.22224929541619592</c:v>
                </c:pt>
                <c:pt idx="52">
                  <c:v>0.20703613753274153</c:v>
                </c:pt>
                <c:pt idx="53">
                  <c:v>0.19219899623688488</c:v>
                </c:pt>
                <c:pt idx="54">
                  <c:v>0.17784842904365544</c:v>
                </c:pt>
                <c:pt idx="55">
                  <c:v>0.16407070866604587</c:v>
                </c:pt>
                <c:pt idx="56">
                  <c:v>0.15093023543845038</c:v>
                </c:pt>
                <c:pt idx="57">
                  <c:v>0.13847204978622871</c:v>
                </c:pt>
                <c:pt idx="58">
                  <c:v>0.12672434302259464</c:v>
                </c:pt>
                <c:pt idx="59">
                  <c:v>0.1157008894815364</c:v>
                </c:pt>
                <c:pt idx="60">
                  <c:v>0.1054033444611894</c:v>
                </c:pt>
                <c:pt idx="61">
                  <c:v>9.5823370561719773E-2</c:v>
                </c:pt>
                <c:pt idx="62">
                  <c:v>8.6944569866347798E-2</c:v>
                </c:pt>
                <c:pt idx="63">
                  <c:v>7.8744211277525386E-2</c:v>
                </c:pt>
                <c:pt idx="64">
                  <c:v>7.119475150320502E-2</c:v>
                </c:pt>
                <c:pt idx="65">
                  <c:v>6.4265155046080102E-2</c:v>
                </c:pt>
                <c:pt idx="66">
                  <c:v>5.7922023441892935E-2</c:v>
                </c:pt>
                <c:pt idx="67">
                  <c:v>5.2130547266136189E-2</c:v>
                </c:pt>
                <c:pt idx="68">
                  <c:v>4.6855296398190159E-2</c:v>
                </c:pt>
                <c:pt idx="69">
                  <c:v>4.2060864979451502E-2</c:v>
                </c:pt>
                <c:pt idx="70">
                  <c:v>6.8702226558615173E-2</c:v>
                </c:pt>
                <c:pt idx="71">
                  <c:v>6.7179877006709673E-2</c:v>
                </c:pt>
                <c:pt idx="72">
                  <c:v>6.5689238551668805E-2</c:v>
                </c:pt>
                <c:pt idx="73">
                  <c:v>6.4230055701121377E-2</c:v>
                </c:pt>
                <c:pt idx="74">
                  <c:v>6.2802029669948634E-2</c:v>
                </c:pt>
                <c:pt idx="75">
                  <c:v>6.1404823864425931E-2</c:v>
                </c:pt>
                <c:pt idx="76">
                  <c:v>6.0038068846374699E-2</c:v>
                </c:pt>
                <c:pt idx="77">
                  <c:v>5.870136682357268E-2</c:v>
                </c:pt>
                <c:pt idx="78">
                  <c:v>5.7394295708633442E-2</c:v>
                </c:pt>
                <c:pt idx="79">
                  <c:v>5.6116412784873199E-2</c:v>
                </c:pt>
                <c:pt idx="80">
                  <c:v>5.4867258014309354E-2</c:v>
                </c:pt>
                <c:pt idx="81">
                  <c:v>5.3646357019851071E-2</c:v>
                </c:pt>
                <c:pt idx="82">
                  <c:v>5.2453223770926274E-2</c:v>
                </c:pt>
                <c:pt idx="83">
                  <c:v>5.1287362999219238E-2</c:v>
                </c:pt>
                <c:pt idx="84">
                  <c:v>5.0148272368845413E-2</c:v>
                </c:pt>
                <c:pt idx="85">
                  <c:v>4.9035444423149187E-2</c:v>
                </c:pt>
                <c:pt idx="86">
                  <c:v>4.7948368328356333E-2</c:v>
                </c:pt>
                <c:pt idx="87">
                  <c:v>4.6886531432530174E-2</c:v>
                </c:pt>
                <c:pt idx="88">
                  <c:v>4.5849420656654594E-2</c:v>
                </c:pt>
                <c:pt idx="89">
                  <c:v>4.483652373318376E-2</c:v>
                </c:pt>
                <c:pt idx="90">
                  <c:v>4.3847330306045415E-2</c:v>
                </c:pt>
                <c:pt idx="91">
                  <c:v>4.2881332904851258E-2</c:v>
                </c:pt>
                <c:pt idx="92">
                  <c:v>4.1938027804941831E-2</c:v>
                </c:pt>
                <c:pt idx="93">
                  <c:v>4.1016915783867319E-2</c:v>
                </c:pt>
                <c:pt idx="94">
                  <c:v>4.011750278396925E-2</c:v>
                </c:pt>
                <c:pt idx="95">
                  <c:v>3.9239300489874118E-2</c:v>
                </c:pt>
                <c:pt idx="96">
                  <c:v>3.8381826828930869E-2</c:v>
                </c:pt>
                <c:pt idx="97">
                  <c:v>3.7544606401913851E-2</c:v>
                </c:pt>
                <c:pt idx="98">
                  <c:v>3.6727170850664098E-2</c:v>
                </c:pt>
                <c:pt idx="99">
                  <c:v>3.5929059168750756E-2</c:v>
                </c:pt>
                <c:pt idx="100">
                  <c:v>1.3500456691561637E-2</c:v>
                </c:pt>
                <c:pt idx="101">
                  <c:v>1.4189182257065435E-2</c:v>
                </c:pt>
                <c:pt idx="102">
                  <c:v>1.4893406243655658E-2</c:v>
                </c:pt>
                <c:pt idx="103">
                  <c:v>1.5612524056250346E-2</c:v>
                </c:pt>
                <c:pt idx="104">
                  <c:v>1.6345897985485372E-2</c:v>
                </c:pt>
                <c:pt idx="105">
                  <c:v>1.7092859320146297E-2</c:v>
                </c:pt>
                <c:pt idx="106">
                  <c:v>1.7852710520360141E-2</c:v>
                </c:pt>
                <c:pt idx="107">
                  <c:v>1.8624727439406109E-2</c:v>
                </c:pt>
                <c:pt idx="108">
                  <c:v>1.9408161582382219E-2</c:v>
                </c:pt>
                <c:pt idx="109">
                  <c:v>2.0202242390390118E-2</c:v>
                </c:pt>
                <c:pt idx="110">
                  <c:v>2.10061795393722E-2</c:v>
                </c:pt>
                <c:pt idx="111">
                  <c:v>2.1819165243239933E-2</c:v>
                </c:pt>
                <c:pt idx="112">
                  <c:v>2.2640376551469464E-2</c:v>
                </c:pt>
                <c:pt idx="113">
                  <c:v>2.3468977631899608E-2</c:v>
                </c:pt>
                <c:pt idx="114">
                  <c:v>2.4304122030044485E-2</c:v>
                </c:pt>
                <c:pt idx="115">
                  <c:v>2.5144954896823196E-2</c:v>
                </c:pt>
                <c:pt idx="116">
                  <c:v>2.5990615177204517E-2</c:v>
                </c:pt>
                <c:pt idx="117">
                  <c:v>2.6840237752865204E-2</c:v>
                </c:pt>
                <c:pt idx="118">
                  <c:v>2.7692955532557399E-2</c:v>
                </c:pt>
                <c:pt idx="119">
                  <c:v>2.854790148447324E-2</c:v>
                </c:pt>
                <c:pt idx="120">
                  <c:v>2.9404210605479198E-2</c:v>
                </c:pt>
                <c:pt idx="121">
                  <c:v>3.0261021822663003E-2</c:v>
                </c:pt>
                <c:pt idx="122">
                  <c:v>3.1117479823195324E-2</c:v>
                </c:pt>
                <c:pt idx="123">
                  <c:v>3.1972736809047386E-2</c:v>
                </c:pt>
                <c:pt idx="124">
                  <c:v>3.2825954173628699E-2</c:v>
                </c:pt>
                <c:pt idx="125">
                  <c:v>3.3676304097910337E-2</c:v>
                </c:pt>
                <c:pt idx="126">
                  <c:v>3.4522971064078541E-2</c:v>
                </c:pt>
                <c:pt idx="127">
                  <c:v>3.5365153285220621E-2</c:v>
                </c:pt>
                <c:pt idx="128">
                  <c:v>3.6202064049978416E-2</c:v>
                </c:pt>
                <c:pt idx="129">
                  <c:v>3.7032932981513132E-2</c:v>
                </c:pt>
                <c:pt idx="130">
                  <c:v>3.7857007210509303E-2</c:v>
                </c:pt>
                <c:pt idx="131">
                  <c:v>3.867355246230518E-2</c:v>
                </c:pt>
                <c:pt idx="132">
                  <c:v>3.9481854058570888E-2</c:v>
                </c:pt>
                <c:pt idx="133">
                  <c:v>4.0281217834265352E-2</c:v>
                </c:pt>
                <c:pt idx="134">
                  <c:v>4.107097097088741E-2</c:v>
                </c:pt>
                <c:pt idx="135">
                  <c:v>4.1850462747298402E-2</c:v>
                </c:pt>
                <c:pt idx="136">
                  <c:v>4.2619065209629797E-2</c:v>
                </c:pt>
                <c:pt idx="137">
                  <c:v>4.3376173762004651E-2</c:v>
                </c:pt>
                <c:pt idx="138">
                  <c:v>4.4121207679993411E-2</c:v>
                </c:pt>
                <c:pt idx="139">
                  <c:v>4.4853610548895341E-2</c:v>
                </c:pt>
                <c:pt idx="140">
                  <c:v>4.5572850629087315E-2</c:v>
                </c:pt>
                <c:pt idx="141">
                  <c:v>4.6278421150811232E-2</c:v>
                </c:pt>
                <c:pt idx="142">
                  <c:v>4.6969840540883857E-2</c:v>
                </c:pt>
                <c:pt idx="143">
                  <c:v>4.7646652583905304E-2</c:v>
                </c:pt>
                <c:pt idx="144">
                  <c:v>4.8308426520619875E-2</c:v>
                </c:pt>
                <c:pt idx="145">
                  <c:v>4.8954757086143191E-2</c:v>
                </c:pt>
                <c:pt idx="146">
                  <c:v>4.958526449081492E-2</c:v>
                </c:pt>
                <c:pt idx="147">
                  <c:v>5.0199594346468215E-2</c:v>
                </c:pt>
                <c:pt idx="148">
                  <c:v>5.0797417540925358E-2</c:v>
                </c:pt>
                <c:pt idx="149">
                  <c:v>5.1378430063534784E-2</c:v>
                </c:pt>
                <c:pt idx="150">
                  <c:v>7.1374716392053981E-3</c:v>
                </c:pt>
                <c:pt idx="151">
                  <c:v>7.0534094021903054E-3</c:v>
                </c:pt>
                <c:pt idx="152">
                  <c:v>6.9707689269122566E-3</c:v>
                </c:pt>
                <c:pt idx="153">
                  <c:v>6.8895185152120925E-3</c:v>
                </c:pt>
                <c:pt idx="154">
                  <c:v>6.8096273503050631E-3</c:v>
                </c:pt>
                <c:pt idx="155">
                  <c:v>6.731065467361904E-3</c:v>
                </c:pt>
                <c:pt idx="156">
                  <c:v>6.6538037252365937E-3</c:v>
                </c:pt>
                <c:pt idx="157">
                  <c:v>6.5778137792895895E-3</c:v>
                </c:pt>
                <c:pt idx="158">
                  <c:v>6.5030680552580506E-3</c:v>
                </c:pt>
                <c:pt idx="159">
                  <c:v>6.4295397241269075E-3</c:v>
                </c:pt>
                <c:pt idx="160">
                  <c:v>6.3572026779569147E-3</c:v>
                </c:pt>
                <c:pt idx="161">
                  <c:v>6.2860315066280729E-3</c:v>
                </c:pt>
                <c:pt idx="162">
                  <c:v>6.2160014754587076E-3</c:v>
                </c:pt>
                <c:pt idx="163">
                  <c:v>6.1470885036625537E-3</c:v>
                </c:pt>
                <c:pt idx="164">
                  <c:v>6.0792691436079805E-3</c:v>
                </c:pt>
                <c:pt idx="165">
                  <c:v>6.0125205608451077E-3</c:v>
                </c:pt>
                <c:pt idx="166">
                  <c:v>5.9468205148684606E-3</c:v>
                </c:pt>
                <c:pt idx="167">
                  <c:v>5.8821473405840478E-3</c:v>
                </c:pt>
                <c:pt idx="168">
                  <c:v>5.8184799304514395E-3</c:v>
                </c:pt>
                <c:pt idx="169">
                  <c:v>5.7557977172727542E-3</c:v>
                </c:pt>
                <c:pt idx="170">
                  <c:v>5.6940806576016847E-3</c:v>
                </c:pt>
                <c:pt idx="171">
                  <c:v>5.6333092157471246E-3</c:v>
                </c:pt>
                <c:pt idx="172">
                  <c:v>5.5734643483469348E-3</c:v>
                </c:pt>
                <c:pt idx="173">
                  <c:v>5.5145274894886796E-3</c:v>
                </c:pt>
                <c:pt idx="174">
                  <c:v>5.4564805363551579E-3</c:v>
                </c:pt>
                <c:pt idx="175">
                  <c:v>5.3993058353735178E-3</c:v>
                </c:pt>
                <c:pt idx="176">
                  <c:v>5.342986168847823E-3</c:v>
                </c:pt>
                <c:pt idx="177">
                  <c:v>5.2875047420557486E-3</c:v>
                </c:pt>
                <c:pt idx="178">
                  <c:v>5.2328451707909524E-3</c:v>
                </c:pt>
                <c:pt idx="179">
                  <c:v>5.1789914693336084E-3</c:v>
                </c:pt>
                <c:pt idx="180">
                  <c:v>5.1259280388321841E-3</c:v>
                </c:pt>
                <c:pt idx="181">
                  <c:v>5.0736396560804664E-3</c:v>
                </c:pt>
                <c:pt idx="182">
                  <c:v>5.0221114626744249E-3</c:v>
                </c:pt>
                <c:pt idx="183">
                  <c:v>4.9713289545342178E-3</c:v>
                </c:pt>
                <c:pt idx="184">
                  <c:v>4.9212779717773226E-3</c:v>
                </c:pt>
                <c:pt idx="185">
                  <c:v>4.8719446889292839E-3</c:v>
                </c:pt>
                <c:pt idx="186">
                  <c:v>4.8233156054592764E-3</c:v>
                </c:pt>
                <c:pt idx="187">
                  <c:v>4.7753775366281082E-3</c:v>
                </c:pt>
                <c:pt idx="188">
                  <c:v>4.7281176046369026E-3</c:v>
                </c:pt>
                <c:pt idx="189">
                  <c:v>4.6815232300651925E-3</c:v>
                </c:pt>
                <c:pt idx="190">
                  <c:v>4.635582123587537E-3</c:v>
                </c:pt>
                <c:pt idx="191">
                  <c:v>4.5902822779583996E-3</c:v>
                </c:pt>
                <c:pt idx="192">
                  <c:v>4.5456119602552882E-3</c:v>
                </c:pt>
                <c:pt idx="193">
                  <c:v>4.5015597043706621E-3</c:v>
                </c:pt>
                <c:pt idx="194">
                  <c:v>4.4581143037435208E-3</c:v>
                </c:pt>
                <c:pt idx="195">
                  <c:v>4.4152648043218759E-3</c:v>
                </c:pt>
                <c:pt idx="196">
                  <c:v>4.3730004977478015E-3</c:v>
                </c:pt>
                <c:pt idx="197">
                  <c:v>4.3313109147569097E-3</c:v>
                </c:pt>
                <c:pt idx="198">
                  <c:v>4.2901858187846479E-3</c:v>
                </c:pt>
                <c:pt idx="199">
                  <c:v>4.2496151997719602E-3</c:v>
                </c:pt>
                <c:pt idx="200">
                  <c:v>4.2095892681632023E-3</c:v>
                </c:pt>
                <c:pt idx="201">
                  <c:v>4.1700984490895213E-3</c:v>
                </c:pt>
                <c:pt idx="202">
                  <c:v>4.131133376731131E-3</c:v>
                </c:pt>
                <c:pt idx="203">
                  <c:v>4.0926848888521907E-3</c:v>
                </c:pt>
                <c:pt idx="204">
                  <c:v>4.0547440215022842E-3</c:v>
                </c:pt>
                <c:pt idx="205">
                  <c:v>4.017302003878646E-3</c:v>
                </c:pt>
                <c:pt idx="206">
                  <c:v>3.9803502533436071E-3</c:v>
                </c:pt>
                <c:pt idx="207">
                  <c:v>3.9438803705918709E-3</c:v>
                </c:pt>
                <c:pt idx="208">
                  <c:v>3.9078841349624886E-3</c:v>
                </c:pt>
                <c:pt idx="209">
                  <c:v>3.8723534998905897E-3</c:v>
                </c:pt>
                <c:pt idx="210">
                  <c:v>3.8372805884940723E-3</c:v>
                </c:pt>
                <c:pt idx="211">
                  <c:v>3.8026576892907335E-3</c:v>
                </c:pt>
                <c:pt idx="212">
                  <c:v>3.7684772520413844E-3</c:v>
                </c:pt>
                <c:pt idx="213">
                  <c:v>3.7347318837147358E-3</c:v>
                </c:pt>
                <c:pt idx="214">
                  <c:v>3.7014143445700015E-3</c:v>
                </c:pt>
                <c:pt idx="215">
                  <c:v>3.6685175443532426E-3</c:v>
                </c:pt>
                <c:pt idx="216">
                  <c:v>3.6360345386037439E-3</c:v>
                </c:pt>
                <c:pt idx="217">
                  <c:v>3.6039585250667314E-3</c:v>
                </c:pt>
                <c:pt idx="218">
                  <c:v>3.5722828402089584E-3</c:v>
                </c:pt>
                <c:pt idx="219">
                  <c:v>3.5410009558338121E-3</c:v>
                </c:pt>
                <c:pt idx="220">
                  <c:v>3.510106475792636E-3</c:v>
                </c:pt>
                <c:pt idx="221">
                  <c:v>3.4795931327892037E-3</c:v>
                </c:pt>
                <c:pt idx="222">
                  <c:v>3.4494547852742968E-3</c:v>
                </c:pt>
                <c:pt idx="223">
                  <c:v>3.419685414427481E-3</c:v>
                </c:pt>
                <c:pt idx="224">
                  <c:v>3.3902791212233265E-3</c:v>
                </c:pt>
                <c:pt idx="225">
                  <c:v>3.3612301235793019E-3</c:v>
                </c:pt>
                <c:pt idx="226">
                  <c:v>3.3325327535828255E-3</c:v>
                </c:pt>
                <c:pt idx="227">
                  <c:v>3.3041814547948955E-3</c:v>
                </c:pt>
                <c:pt idx="228">
                  <c:v>3.2761707796279287E-3</c:v>
                </c:pt>
                <c:pt idx="229">
                  <c:v>3.2484953867954599E-3</c:v>
                </c:pt>
                <c:pt idx="230">
                  <c:v>3.2211500388314405E-3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C7-48A2-BED8-82ACCEBE1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483376"/>
        <c:axId val="299484360"/>
      </c:scatterChart>
      <c:valAx>
        <c:axId val="29948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484360"/>
        <c:crosses val="autoZero"/>
        <c:crossBetween val="midCat"/>
      </c:valAx>
      <c:valAx>
        <c:axId val="299484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483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</a:t>
            </a:r>
            <a:r>
              <a:rPr lang="pt-BR" sz="1400" b="0" i="0" u="none" strike="noStrike" baseline="0">
                <a:effectLst/>
              </a:rPr>
              <a:t>(k; f, </a:t>
            </a:r>
            <a:r>
              <a:rPr lang="el-GR" sz="1400" b="0" i="0" u="none" strike="noStrike" baseline="0">
                <a:effectLst/>
              </a:rPr>
              <a:t>Σ</a:t>
            </a:r>
            <a:r>
              <a:rPr lang="pt-BR" sz="1400" b="0" i="0" u="none" strike="noStrike" baseline="0">
                <a:effectLst/>
              </a:rPr>
              <a:t>, a, b)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'Exemplo Base C2it'!$A$4:$E$4</c:f>
              <c:numCache>
                <c:formatCode>General</c:formatCode>
                <c:ptCount val="5"/>
                <c:pt idx="0">
                  <c:v>0</c:v>
                </c:pt>
                <c:pt idx="1">
                  <c:v>5</c:v>
                </c:pt>
                <c:pt idx="2">
                  <c:v>7</c:v>
                </c:pt>
                <c:pt idx="3">
                  <c:v>10</c:v>
                </c:pt>
                <c:pt idx="4">
                  <c:v>15</c:v>
                </c:pt>
              </c:numCache>
            </c:numRef>
          </c:xVal>
          <c:yVal>
            <c:numRef>
              <c:f>'Exemplo Base C2it'!$A$2:$E$2</c:f>
              <c:numCache>
                <c:formatCode>General</c:formatCode>
                <c:ptCount val="5"/>
                <c:pt idx="0">
                  <c:v>10</c:v>
                </c:pt>
                <c:pt idx="1">
                  <c:v>6</c:v>
                </c:pt>
                <c:pt idx="2">
                  <c:v>5</c:v>
                </c:pt>
                <c:pt idx="3">
                  <c:v>4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96-4CA4-B3E9-CE9ECEB09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483376"/>
        <c:axId val="299484360"/>
      </c:scatterChart>
      <c:scatterChart>
        <c:scatterStyle val="smooth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'Exemplo Base C2it'!$V$2:$V$232</c:f>
              <c:numCache>
                <c:formatCode>General</c:formatCode>
                <c:ptCount val="2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</c:numCache>
            </c:numRef>
          </c:xVal>
          <c:yVal>
            <c:numRef>
              <c:f>'Exemplo Base C2it'!$W$2:$W$232</c:f>
              <c:numCache>
                <c:formatCode>General</c:formatCode>
                <c:ptCount val="231"/>
                <c:pt idx="0">
                  <c:v>10</c:v>
                </c:pt>
                <c:pt idx="1">
                  <c:v>9.9000025139337691</c:v>
                </c:pt>
                <c:pt idx="2">
                  <c:v>9.800052517209469</c:v>
                </c:pt>
                <c:pt idx="3">
                  <c:v>9.7002652219989791</c:v>
                </c:pt>
                <c:pt idx="4">
                  <c:v>9.6007804482229755</c:v>
                </c:pt>
                <c:pt idx="5">
                  <c:v>9.5017332442278803</c:v>
                </c:pt>
                <c:pt idx="6">
                  <c:v>9.4032437786269512</c:v>
                </c:pt>
                <c:pt idx="7">
                  <c:v>9.3054150032886387</c:v>
                </c:pt>
                <c:pt idx="8">
                  <c:v>9.208333264048477</c:v>
                </c:pt>
                <c:pt idx="9">
                  <c:v>9.1120699404987686</c:v>
                </c:pt>
                <c:pt idx="10">
                  <c:v>9.0166833361768646</c:v>
                </c:pt>
                <c:pt idx="11">
                  <c:v>8.9222205064484381</c:v>
                </c:pt>
                <c:pt idx="12">
                  <c:v>8.8287189089372831</c:v>
                </c:pt>
                <c:pt idx="13">
                  <c:v>8.7362078462983703</c:v>
                </c:pt>
                <c:pt idx="14">
                  <c:v>8.6447097068975811</c:v>
                </c:pt>
                <c:pt idx="15">
                  <c:v>8.5542410227343399</c:v>
                </c:pt>
                <c:pt idx="16">
                  <c:v>8.464813367847924</c:v>
                </c:pt>
                <c:pt idx="17">
                  <c:v>8.3764341200449159</c:v>
                </c:pt>
                <c:pt idx="18">
                  <c:v>8.2891071066589284</c:v>
                </c:pt>
                <c:pt idx="19">
                  <c:v>8.2028331524022455</c:v>
                </c:pt>
                <c:pt idx="20">
                  <c:v>8.1176105447300202</c:v>
                </c:pt>
                <c:pt idx="21">
                  <c:v>8.0334354297339523</c:v>
                </c:pt>
                <c:pt idx="22">
                  <c:v>7.9503021494861237</c:v>
                </c:pt>
                <c:pt idx="23">
                  <c:v>7.8682035299681772</c:v>
                </c:pt>
                <c:pt idx="24">
                  <c:v>7.7871311272205528</c:v>
                </c:pt>
                <c:pt idx="25">
                  <c:v>7.707075438094602</c:v>
                </c:pt>
                <c:pt idx="26">
                  <c:v>7.6280260809502014</c:v>
                </c:pt>
                <c:pt idx="27">
                  <c:v>7.5499719507784064</c:v>
                </c:pt>
                <c:pt idx="28">
                  <c:v>7.4729013525126895</c:v>
                </c:pt>
                <c:pt idx="29">
                  <c:v>7.3968021156979571</c:v>
                </c:pt>
                <c:pt idx="30">
                  <c:v>7.3216616931922935</c:v>
                </c:pt>
                <c:pt idx="31">
                  <c:v>7.2474672461647707</c:v>
                </c:pt>
                <c:pt idx="32">
                  <c:v>7.1742057173089488</c:v>
                </c:pt>
                <c:pt idx="33">
                  <c:v>7.1018638939041914</c:v>
                </c:pt>
                <c:pt idx="34">
                  <c:v>7.0304284621156974</c:v>
                </c:pt>
                <c:pt idx="35">
                  <c:v>6.9598860537213589</c:v>
                </c:pt>
                <c:pt idx="36">
                  <c:v>6.8902232862825663</c:v>
                </c:pt>
                <c:pt idx="37">
                  <c:v>6.8214267976316165</c:v>
                </c:pt>
                <c:pt idx="38">
                  <c:v>6.753483275426019</c:v>
                </c:pt>
                <c:pt idx="39">
                  <c:v>6.6863794824159299</c:v>
                </c:pt>
                <c:pt idx="40">
                  <c:v>6.620102277982685</c:v>
                </c:pt>
                <c:pt idx="41">
                  <c:v>6.5546386364306706</c:v>
                </c:pt>
                <c:pt idx="42">
                  <c:v>6.4899756624504619</c:v>
                </c:pt>
                <c:pt idx="43">
                  <c:v>6.4261006041156712</c:v>
                </c:pt>
                <c:pt idx="44">
                  <c:v>6.363000863728594</c:v>
                </c:pt>
                <c:pt idx="45">
                  <c:v>6.3006640067887787</c:v>
                </c:pt>
                <c:pt idx="46">
                  <c:v>6.2390777693235009</c:v>
                </c:pt>
                <c:pt idx="47">
                  <c:v>6.1782300637886252</c:v>
                </c:pt>
                <c:pt idx="48">
                  <c:v>6.1181089837220739</c:v>
                </c:pt>
                <c:pt idx="49">
                  <c:v>6.0587028073092508</c:v>
                </c:pt>
                <c:pt idx="50">
                  <c:v>6.0000000000000089</c:v>
                </c:pt>
                <c:pt idx="51">
                  <c:v>5.9420614015185773</c:v>
                </c:pt>
                <c:pt idx="52">
                  <c:v>5.8849576373687977</c:v>
                </c:pt>
                <c:pt idx="53">
                  <c:v>5.8286914369087475</c:v>
                </c:pt>
                <c:pt idx="54">
                  <c:v>5.77326481550719</c:v>
                </c:pt>
                <c:pt idx="55">
                  <c:v>5.718679108842637</c:v>
                </c:pt>
                <c:pt idx="56">
                  <c:v>5.6649350065411141</c:v>
                </c:pt>
                <c:pt idx="57">
                  <c:v>5.6120325850671708</c:v>
                </c:pt>
                <c:pt idx="58">
                  <c:v>5.5599713397987713</c:v>
                </c:pt>
                <c:pt idx="59">
                  <c:v>5.5087502162309852</c:v>
                </c:pt>
                <c:pt idx="60">
                  <c:v>5.4583676402657959</c:v>
                </c:pt>
                <c:pt idx="61">
                  <c:v>5.4088215475563057</c:v>
                </c:pt>
                <c:pt idx="62">
                  <c:v>5.3601094118830508</c:v>
                </c:pt>
                <c:pt idx="63">
                  <c:v>5.3122282725483858</c:v>
                </c:pt>
                <c:pt idx="64">
                  <c:v>5.2651747607820649</c:v>
                </c:pt>
                <c:pt idx="65">
                  <c:v>5.218945125157167</c:v>
                </c:pt>
                <c:pt idx="66">
                  <c:v>5.1735352560208749</c:v>
                </c:pt>
                <c:pt idx="67">
                  <c:v>5.1289407089489893</c:v>
                </c:pt>
                <c:pt idx="68">
                  <c:v>5.0851567272368268</c:v>
                </c:pt>
                <c:pt idx="69">
                  <c:v>5.0421782634423611</c:v>
                </c:pt>
                <c:pt idx="70">
                  <c:v>5.0000000000000009</c:v>
                </c:pt>
                <c:pt idx="71">
                  <c:v>4.9585765875082863</c:v>
                </c:pt>
                <c:pt idx="72">
                  <c:v>4.9178541486151079</c:v>
                </c:pt>
                <c:pt idx="73">
                  <c:v>4.8778147034799364</c:v>
                </c:pt>
                <c:pt idx="74">
                  <c:v>4.8384406963302071</c:v>
                </c:pt>
                <c:pt idx="75">
                  <c:v>4.7997149911074928</c:v>
                </c:pt>
                <c:pt idx="76">
                  <c:v>4.7616208665243382</c:v>
                </c:pt>
                <c:pt idx="77">
                  <c:v>4.724142010611704</c:v>
                </c:pt>
                <c:pt idx="78">
                  <c:v>4.6872625148291993</c:v>
                </c:pt>
                <c:pt idx="79">
                  <c:v>4.6509668678032945</c:v>
                </c:pt>
                <c:pt idx="80">
                  <c:v>4.615239948752305</c:v>
                </c:pt>
                <c:pt idx="81">
                  <c:v>4.5800670206510734</c:v>
                </c:pt>
                <c:pt idx="82">
                  <c:v>4.545433723182998</c:v>
                </c:pt>
                <c:pt idx="83">
                  <c:v>4.5113260655221739</c:v>
                </c:pt>
                <c:pt idx="84">
                  <c:v>4.4777304189840121</c:v>
                </c:pt>
                <c:pt idx="85">
                  <c:v>4.4446335095787219</c:v>
                </c:pt>
                <c:pt idx="86">
                  <c:v>4.4120224104983281</c:v>
                </c:pt>
                <c:pt idx="87">
                  <c:v>4.3798845345646491</c:v>
                </c:pt>
                <c:pt idx="88">
                  <c:v>4.3482076266625871</c:v>
                </c:pt>
                <c:pt idx="89">
                  <c:v>4.3169797561803964</c:v>
                </c:pt>
                <c:pt idx="90">
                  <c:v>4.2861893094760566</c:v>
                </c:pt>
                <c:pt idx="91">
                  <c:v>4.2558249823866934</c:v>
                </c:pt>
                <c:pt idx="92">
                  <c:v>4.2258757727958889</c:v>
                </c:pt>
                <c:pt idx="93">
                  <c:v>4.1963309732719054</c:v>
                </c:pt>
                <c:pt idx="94">
                  <c:v>4.167180163788176</c:v>
                </c:pt>
                <c:pt idx="95">
                  <c:v>4.1384132045358752</c:v>
                </c:pt>
                <c:pt idx="96">
                  <c:v>4.11002022883706</c:v>
                </c:pt>
                <c:pt idx="97">
                  <c:v>4.0819916361655952</c:v>
                </c:pt>
                <c:pt idx="98">
                  <c:v>4.0543180852819845</c:v>
                </c:pt>
                <c:pt idx="99">
                  <c:v>4.0269904874872466</c:v>
                </c:pt>
                <c:pt idx="100">
                  <c:v>4</c:v>
                </c:pt>
                <c:pt idx="101">
                  <c:v>3.9733552811192134</c:v>
                </c:pt>
                <c:pt idx="102">
                  <c:v>3.9470662686244844</c:v>
                </c:pt>
                <c:pt idx="103">
                  <c:v>3.9211263261614806</c:v>
                </c:pt>
                <c:pt idx="104">
                  <c:v>3.8955289571301215</c:v>
                </c:pt>
                <c:pt idx="105">
                  <c:v>3.8702678016258627</c:v>
                </c:pt>
                <c:pt idx="106">
                  <c:v>3.8453366334366139</c:v>
                </c:pt>
                <c:pt idx="107">
                  <c:v>3.8207293570956264</c:v>
                </c:pt>
                <c:pt idx="108">
                  <c:v>3.7964400049905205</c:v>
                </c:pt>
                <c:pt idx="109">
                  <c:v>3.7724627345285144</c:v>
                </c:pt>
                <c:pt idx="110">
                  <c:v>3.7487918253577455</c:v>
                </c:pt>
                <c:pt idx="111">
                  <c:v>3.7254216766445185</c:v>
                </c:pt>
                <c:pt idx="112">
                  <c:v>3.7023468044061634</c:v>
                </c:pt>
                <c:pt idx="113">
                  <c:v>3.6795618388991294</c:v>
                </c:pt>
                <c:pt idx="114">
                  <c:v>3.6570615220618636</c:v>
                </c:pt>
                <c:pt idx="115">
                  <c:v>3.6348407050119205</c:v>
                </c:pt>
                <c:pt idx="116">
                  <c:v>3.6128943455967484</c:v>
                </c:pt>
                <c:pt idx="117">
                  <c:v>3.5912175059974745</c:v>
                </c:pt>
                <c:pt idx="118">
                  <c:v>3.569805350385034</c:v>
                </c:pt>
                <c:pt idx="119">
                  <c:v>3.5486531426278938</c:v>
                </c:pt>
                <c:pt idx="120">
                  <c:v>3.5277562440506296</c:v>
                </c:pt>
                <c:pt idx="121">
                  <c:v>3.5071101112425516</c:v>
                </c:pt>
                <c:pt idx="122">
                  <c:v>3.486710293915583</c:v>
                </c:pt>
                <c:pt idx="123">
                  <c:v>3.4665524328105537</c:v>
                </c:pt>
                <c:pt idx="124">
                  <c:v>3.446632257651066</c:v>
                </c:pt>
                <c:pt idx="125">
                  <c:v>3.4269455851440753</c:v>
                </c:pt>
                <c:pt idx="126">
                  <c:v>3.4074883170263148</c:v>
                </c:pt>
                <c:pt idx="127">
                  <c:v>3.388256438155699</c:v>
                </c:pt>
                <c:pt idx="128">
                  <c:v>3.3692460146468326</c:v>
                </c:pt>
                <c:pt idx="129">
                  <c:v>3.3504531920497373</c:v>
                </c:pt>
                <c:pt idx="130">
                  <c:v>3.3318741935709273</c:v>
                </c:pt>
                <c:pt idx="131">
                  <c:v>3.3135053183359693</c:v>
                </c:pt>
                <c:pt idx="132">
                  <c:v>3.2953429396926377</c:v>
                </c:pt>
                <c:pt idx="133">
                  <c:v>3.2773835035538204</c:v>
                </c:pt>
                <c:pt idx="134">
                  <c:v>3.2596235267793174</c:v>
                </c:pt>
                <c:pt idx="135">
                  <c:v>3.242059595595669</c:v>
                </c:pt>
                <c:pt idx="136">
                  <c:v>3.2246883640531947</c:v>
                </c:pt>
                <c:pt idx="137">
                  <c:v>3.2075065525194</c:v>
                </c:pt>
                <c:pt idx="138">
                  <c:v>3.1905109462079455</c:v>
                </c:pt>
                <c:pt idx="139">
                  <c:v>3.1736983937423542</c:v>
                </c:pt>
                <c:pt idx="140">
                  <c:v>3.1570658057536809</c:v>
                </c:pt>
                <c:pt idx="141">
                  <c:v>3.14061015351135</c:v>
                </c:pt>
                <c:pt idx="142">
                  <c:v>3.1243284675863983</c:v>
                </c:pt>
                <c:pt idx="143">
                  <c:v>3.1082178365463551</c:v>
                </c:pt>
                <c:pt idx="144">
                  <c:v>3.0922754056810331</c:v>
                </c:pt>
                <c:pt idx="145">
                  <c:v>3.0764983757584909</c:v>
                </c:pt>
                <c:pt idx="146">
                  <c:v>3.0608840018104497</c:v>
                </c:pt>
                <c:pt idx="147">
                  <c:v>3.045429591946462</c:v>
                </c:pt>
                <c:pt idx="148">
                  <c:v>3.030132506196157</c:v>
                </c:pt>
                <c:pt idx="149">
                  <c:v>3.0149901553788667</c:v>
                </c:pt>
                <c:pt idx="150">
                  <c:v>3.0000000000000129</c:v>
                </c:pt>
                <c:pt idx="151">
                  <c:v>2.9851464658628135</c:v>
                </c:pt>
                <c:pt idx="152">
                  <c:v>2.9704146588258014</c:v>
                </c:pt>
                <c:pt idx="153">
                  <c:v>2.9558031142518377</c:v>
                </c:pt>
                <c:pt idx="154">
                  <c:v>2.9413103913127938</c:v>
                </c:pt>
                <c:pt idx="155">
                  <c:v>2.9269350724963403</c:v>
                </c:pt>
                <c:pt idx="156">
                  <c:v>2.9126757631252227</c:v>
                </c:pt>
                <c:pt idx="157">
                  <c:v>2.8985310908886373</c:v>
                </c:pt>
                <c:pt idx="158">
                  <c:v>2.8844997053853452</c:v>
                </c:pt>
                <c:pt idx="159">
                  <c:v>2.8705802776782061</c:v>
                </c:pt>
                <c:pt idx="160">
                  <c:v>2.8567714998597542</c:v>
                </c:pt>
                <c:pt idx="161">
                  <c:v>2.8430720846285089</c:v>
                </c:pt>
                <c:pt idx="162">
                  <c:v>2.8294807648757319</c:v>
                </c:pt>
                <c:pt idx="163">
                  <c:v>2.81599629328226</c:v>
                </c:pt>
                <c:pt idx="164">
                  <c:v>2.8026174419252148</c:v>
                </c:pt>
                <c:pt idx="165">
                  <c:v>2.7893430018942098</c:v>
                </c:pt>
                <c:pt idx="166">
                  <c:v>2.776171782916848</c:v>
                </c:pt>
                <c:pt idx="167">
                  <c:v>2.7631026129932286</c:v>
                </c:pt>
                <c:pt idx="168">
                  <c:v>2.7501343380391772</c:v>
                </c:pt>
                <c:pt idx="169">
                  <c:v>2.737265821538001</c:v>
                </c:pt>
                <c:pt idx="170">
                  <c:v>2.7244959442004846</c:v>
                </c:pt>
                <c:pt idx="171">
                  <c:v>2.7118236036329271</c:v>
                </c:pt>
                <c:pt idx="172">
                  <c:v>2.6992477140129782</c:v>
                </c:pt>
                <c:pt idx="173">
                  <c:v>2.6867672057730543</c:v>
                </c:pt>
                <c:pt idx="174">
                  <c:v>2.674381025291146</c:v>
                </c:pt>
                <c:pt idx="175">
                  <c:v>2.6620881345887897</c:v>
                </c:pt>
                <c:pt idx="176">
                  <c:v>2.6498875110360167</c:v>
                </c:pt>
                <c:pt idx="177">
                  <c:v>2.6377781470630861</c:v>
                </c:pt>
                <c:pt idx="178">
                  <c:v>2.6257590498788277</c:v>
                </c:pt>
                <c:pt idx="179">
                  <c:v>2.6138292411953952</c:v>
                </c:pt>
                <c:pt idx="180">
                  <c:v>2.6019877569592857</c:v>
                </c:pt>
                <c:pt idx="181">
                  <c:v>2.5902336470884233</c:v>
                </c:pt>
                <c:pt idx="182">
                  <c:v>2.5785659752151697</c:v>
                </c:pt>
                <c:pt idx="183">
                  <c:v>2.566983818435097</c:v>
                </c:pt>
                <c:pt idx="184">
                  <c:v>2.5554862670613758</c:v>
                </c:pt>
                <c:pt idx="185">
                  <c:v>2.5440724243845962</c:v>
                </c:pt>
                <c:pt idx="186">
                  <c:v>2.5327414064379483</c:v>
                </c:pt>
                <c:pt idx="187">
                  <c:v>2.5214923417675457</c:v>
                </c:pt>
                <c:pt idx="188">
                  <c:v>2.5103243712078109</c:v>
                </c:pt>
                <c:pt idx="189">
                  <c:v>2.4992366476617547</c:v>
                </c:pt>
                <c:pt idx="190">
                  <c:v>2.4882283358860713</c:v>
                </c:pt>
                <c:pt idx="191">
                  <c:v>2.4772986122808551</c:v>
                </c:pt>
                <c:pt idx="192">
                  <c:v>2.4664466646839038</c:v>
                </c:pt>
                <c:pt idx="193">
                  <c:v>2.4556716921694011</c:v>
                </c:pt>
                <c:pt idx="194">
                  <c:v>2.4449729048509541</c:v>
                </c:pt>
                <c:pt idx="195">
                  <c:v>2.4343495236888151</c:v>
                </c:pt>
                <c:pt idx="196">
                  <c:v>2.4238007803012009</c:v>
                </c:pt>
                <c:pt idx="197">
                  <c:v>2.4133259167796131</c:v>
                </c:pt>
                <c:pt idx="198">
                  <c:v>2.4029241855080556</c:v>
                </c:pt>
                <c:pt idx="199">
                  <c:v>2.3925948489860431</c:v>
                </c:pt>
                <c:pt idx="200">
                  <c:v>2.3823371796553241</c:v>
                </c:pt>
                <c:pt idx="201">
                  <c:v>2.3721504597301979</c:v>
                </c:pt>
                <c:pt idx="202">
                  <c:v>2.3620339810313888</c:v>
                </c:pt>
                <c:pt idx="203">
                  <c:v>2.3519870448233102</c:v>
                </c:pt>
                <c:pt idx="204">
                  <c:v>2.3420089616547295</c:v>
                </c:pt>
                <c:pt idx="205">
                  <c:v>2.3320990512026678</c:v>
                </c:pt>
                <c:pt idx="206">
                  <c:v>2.3222566421195165</c:v>
                </c:pt>
                <c:pt idx="207">
                  <c:v>2.3124810718832545</c:v>
                </c:pt>
                <c:pt idx="208">
                  <c:v>2.3027716866507077</c:v>
                </c:pt>
                <c:pt idx="209">
                  <c:v>2.2931278411137828</c:v>
                </c:pt>
                <c:pt idx="210">
                  <c:v>2.2835488983585877</c:v>
                </c:pt>
                <c:pt idx="211">
                  <c:v>2.2740342297273859</c:v>
                </c:pt>
                <c:pt idx="212">
                  <c:v>2.264583214683312</c:v>
                </c:pt>
                <c:pt idx="213">
                  <c:v>2.2551952406777747</c:v>
                </c:pt>
                <c:pt idx="214">
                  <c:v>2.2458697030204986</c:v>
                </c:pt>
                <c:pt idx="215">
                  <c:v>2.2366060047521366</c:v>
                </c:pt>
                <c:pt idx="216">
                  <c:v>2.2274035565193833</c:v>
                </c:pt>
                <c:pt idx="217">
                  <c:v>2.2182617764525587</c:v>
                </c:pt>
                <c:pt idx="218">
                  <c:v>2.2091800900455576</c:v>
                </c:pt>
                <c:pt idx="219">
                  <c:v>2.2001579300381708</c:v>
                </c:pt>
                <c:pt idx="220">
                  <c:v>2.1911947363006701</c:v>
                </c:pt>
                <c:pt idx="221">
                  <c:v>2.1822899557206368</c:v>
                </c:pt>
                <c:pt idx="222">
                  <c:v>2.1734430420919617</c:v>
                </c:pt>
                <c:pt idx="223">
                  <c:v>2.1646534560059956</c:v>
                </c:pt>
                <c:pt idx="224">
                  <c:v>2.1559206647447655</c:v>
                </c:pt>
                <c:pt idx="225">
                  <c:v>2.1472441421762412</c:v>
                </c:pt>
                <c:pt idx="226">
                  <c:v>2.1386233686515865</c:v>
                </c:pt>
                <c:pt idx="227">
                  <c:v>2.1300578309043594</c:v>
                </c:pt>
                <c:pt idx="228">
                  <c:v>2.1215470219516108</c:v>
                </c:pt>
                <c:pt idx="229">
                  <c:v>2.1130904409968552</c:v>
                </c:pt>
                <c:pt idx="230">
                  <c:v>2.1046875933348463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96-4CA4-B3E9-CE9ECEB09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483376"/>
        <c:axId val="299484360"/>
      </c:scatterChart>
      <c:valAx>
        <c:axId val="29948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484360"/>
        <c:crosses val="autoZero"/>
        <c:crossBetween val="midCat"/>
      </c:valAx>
      <c:valAx>
        <c:axId val="299484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483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c'</a:t>
            </a:r>
            <a:r>
              <a:rPr lang="pt-BR" sz="1400" b="0" i="0" u="none" strike="noStrike" baseline="0">
                <a:effectLst/>
              </a:rPr>
              <a:t>(k; f, </a:t>
            </a:r>
            <a:r>
              <a:rPr lang="el-GR" sz="1400" b="0" i="0" u="none" strike="noStrike" baseline="0">
                <a:effectLst/>
              </a:rPr>
              <a:t>Σ</a:t>
            </a:r>
            <a:r>
              <a:rPr lang="pt-BR" sz="1400" b="0" i="0" u="none" strike="noStrike" baseline="0">
                <a:effectLst/>
              </a:rPr>
              <a:t>, a, b)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'Exemplo Base C2it'!$V$2:$V$232</c:f>
              <c:numCache>
                <c:formatCode>General</c:formatCode>
                <c:ptCount val="2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</c:numCache>
            </c:numRef>
          </c:xVal>
          <c:yVal>
            <c:numRef>
              <c:f>'Exemplo Base C2it'!$X$2:$X$232</c:f>
              <c:numCache>
                <c:formatCode>0.0000</c:formatCode>
                <c:ptCount val="231"/>
                <c:pt idx="0" formatCode="General">
                  <c:v>-1</c:v>
                </c:pt>
                <c:pt idx="1">
                  <c:v>-0.99988349853335401</c:v>
                </c:pt>
                <c:pt idx="2">
                  <c:v>-0.99891366430999629</c:v>
                </c:pt>
                <c:pt idx="3">
                  <c:v>-0.99659482535222599</c:v>
                </c:pt>
                <c:pt idx="4">
                  <c:v>-0.99287413847529515</c:v>
                </c:pt>
                <c:pt idx="5">
                  <c:v>-0.98786937009931353</c:v>
                </c:pt>
                <c:pt idx="6">
                  <c:v>-0.9817484970411019</c:v>
                </c:pt>
                <c:pt idx="7">
                  <c:v>-0.97468338957494438</c:v>
                </c:pt>
                <c:pt idx="8">
                  <c:v>-0.96683275079986375</c:v>
                </c:pt>
                <c:pt idx="9">
                  <c:v>-0.95833685462954343</c:v>
                </c:pt>
                <c:pt idx="10">
                  <c:v>-0.94931708181694752</c:v>
                </c:pt>
                <c:pt idx="11">
                  <c:v>-0.93987732363044696</c:v>
                </c:pt>
                <c:pt idx="12">
                  <c:v>-0.930105995118927</c:v>
                </c:pt>
                <c:pt idx="13">
                  <c:v>-0.92007811946809714</c:v>
                </c:pt>
                <c:pt idx="14">
                  <c:v>-0.90985726440002168</c:v>
                </c:pt>
                <c:pt idx="15">
                  <c:v>-0.89949725525914237</c:v>
                </c:pt>
                <c:pt idx="16">
                  <c:v>-0.8890436533217323</c:v>
                </c:pt>
                <c:pt idx="17">
                  <c:v>-0.8785350147915838</c:v>
                </c:pt>
                <c:pt idx="18">
                  <c:v>-0.86800395565974409</c:v>
                </c:pt>
                <c:pt idx="19">
                  <c:v>-0.8574780494388069</c:v>
                </c:pt>
                <c:pt idx="20">
                  <c:v>-0.84698058319378067</c:v>
                </c:pt>
                <c:pt idx="21">
                  <c:v>-0.83653119441483959</c:v>
                </c:pt>
                <c:pt idx="22">
                  <c:v>-0.82614640811276208</c:v>
                </c:pt>
                <c:pt idx="23">
                  <c:v>-0.81584009051094819</c:v>
                </c:pt>
                <c:pt idx="24">
                  <c:v>-0.80562383303280105</c:v>
                </c:pt>
                <c:pt idx="25">
                  <c:v>-0.7955072779844099</c:v>
                </c:pt>
                <c:pt idx="26">
                  <c:v>-0.78549839539532407</c:v>
                </c:pt>
                <c:pt idx="27">
                  <c:v>-0.7756037188662579</c:v>
                </c:pt>
                <c:pt idx="28">
                  <c:v>-0.76582854693655988</c:v>
                </c:pt>
                <c:pt idx="29">
                  <c:v>-0.75617711538210586</c:v>
                </c:pt>
                <c:pt idx="30">
                  <c:v>-0.7466527449462883</c:v>
                </c:pt>
                <c:pt idx="31">
                  <c:v>-0.73725796825882695</c:v>
                </c:pt>
                <c:pt idx="32">
                  <c:v>-0.72799463908051987</c:v>
                </c:pt>
                <c:pt idx="33">
                  <c:v>-0.71886402650299519</c:v>
                </c:pt>
                <c:pt idx="34">
                  <c:v>-0.70986689631149202</c:v>
                </c:pt>
                <c:pt idx="35">
                  <c:v>-0.70100358136973107</c:v>
                </c:pt>
                <c:pt idx="36">
                  <c:v>-0.69227404259603298</c:v>
                </c:pt>
                <c:pt idx="37">
                  <c:v>-0.68367792185842513</c:v>
                </c:pt>
                <c:pt idx="38">
                  <c:v>-0.67521458791494415</c:v>
                </c:pt>
                <c:pt idx="39">
                  <c:v>-0.66688317635667027</c:v>
                </c:pt>
                <c:pt idx="40">
                  <c:v>-0.65868262436952041</c:v>
                </c:pt>
                <c:pt idx="41">
                  <c:v>-0.65061170101179544</c:v>
                </c:pt>
                <c:pt idx="42">
                  <c:v>-0.64266903360412342</c:v>
                </c:pt>
                <c:pt idx="43">
                  <c:v>-0.63485313074361116</c:v>
                </c:pt>
                <c:pt idx="44">
                  <c:v>-0.62716240238215459</c:v>
                </c:pt>
                <c:pt idx="45">
                  <c:v>-0.61959517734783787</c:v>
                </c:pt>
                <c:pt idx="46">
                  <c:v>-0.61214971863640333</c:v>
                </c:pt>
                <c:pt idx="47">
                  <c:v>-0.60482423675549046</c:v>
                </c:pt>
                <c:pt idx="48">
                  <c:v>-0.59761690136645917</c:v>
                </c:pt>
                <c:pt idx="49">
                  <c:v>-0.59052585143619307</c:v>
                </c:pt>
                <c:pt idx="50">
                  <c:v>-0.58354920408343103</c:v>
                </c:pt>
                <c:pt idx="51">
                  <c:v>-0.57521697442370945</c:v>
                </c:pt>
                <c:pt idx="52">
                  <c:v>-0.56685376545414079</c:v>
                </c:pt>
                <c:pt idx="53">
                  <c:v>-0.55846689051789633</c:v>
                </c:pt>
                <c:pt idx="54">
                  <c:v>-0.55006331699070832</c:v>
                </c:pt>
                <c:pt idx="55">
                  <c:v>-0.54164967240713391</c:v>
                </c:pt>
                <c:pt idx="56">
                  <c:v>-0.53323225152953024</c:v>
                </c:pt>
                <c:pt idx="57">
                  <c:v>-0.52481702418768328</c:v>
                </c:pt>
                <c:pt idx="58">
                  <c:v>-0.51640964373755804</c:v>
                </c:pt>
                <c:pt idx="59">
                  <c:v>-0.50801545600609843</c:v>
                </c:pt>
                <c:pt idx="60">
                  <c:v>-0.4996395086055847</c:v>
                </c:pt>
                <c:pt idx="61">
                  <c:v>-0.49128656051588804</c:v>
                </c:pt>
                <c:pt idx="62">
                  <c:v>-0.48296109184624314</c:v>
                </c:pt>
                <c:pt idx="63">
                  <c:v>-0.4746673136999815</c:v>
                </c:pt>
                <c:pt idx="64">
                  <c:v>-0.46640917807622384</c:v>
                </c:pt>
                <c:pt idx="65">
                  <c:v>-0.45819038775188925</c:v>
                </c:pt>
                <c:pt idx="66">
                  <c:v>-0.45001440609570142</c:v>
                </c:pt>
                <c:pt idx="67">
                  <c:v>-0.44188446677323345</c:v>
                </c:pt>
                <c:pt idx="68">
                  <c:v>-0.43380358330854385</c:v>
                </c:pt>
                <c:pt idx="69">
                  <c:v>-0.42577455847370183</c:v>
                </c:pt>
                <c:pt idx="70">
                  <c:v>-0.41779999348256058</c:v>
                </c:pt>
                <c:pt idx="71">
                  <c:v>-0.41069893517358813</c:v>
                </c:pt>
                <c:pt idx="72">
                  <c:v>-0.40377980847579853</c:v>
                </c:pt>
                <c:pt idx="73">
                  <c:v>-0.39703835312084779</c:v>
                </c:pt>
                <c:pt idx="74">
                  <c:v>-0.3904703491453585</c:v>
                </c:pt>
                <c:pt idx="75">
                  <c:v>-0.38407162321088861</c:v>
                </c:pt>
                <c:pt idx="76">
                  <c:v>-0.37783805408409188</c:v>
                </c:pt>
                <c:pt idx="77">
                  <c:v>-0.37176557735754073</c:v>
                </c:pt>
                <c:pt idx="78">
                  <c:v>-0.36585018948467185</c:v>
                </c:pt>
                <c:pt idx="79">
                  <c:v>-0.36008795119587444</c:v>
                </c:pt>
                <c:pt idx="80">
                  <c:v>-0.35447499035684399</c:v>
                </c:pt>
                <c:pt idx="81">
                  <c:v>-0.34900750432490457</c:v>
                </c:pt>
                <c:pt idx="82">
                  <c:v>-0.34368176185405303</c:v>
                </c:pt>
                <c:pt idx="83">
                  <c:v>-0.33849410459493323</c:v>
                </c:pt>
                <c:pt idx="84">
                  <c:v>-0.33344094823179943</c:v>
                </c:pt>
                <c:pt idx="85">
                  <c:v>-0.32851878329472312</c:v>
                </c:pt>
                <c:pt idx="86">
                  <c:v>-0.32372417568183015</c:v>
                </c:pt>
                <c:pt idx="87">
                  <c:v>-0.31905376692317339</c:v>
                </c:pt>
                <c:pt idx="88">
                  <c:v>-0.31450427421494936</c:v>
                </c:pt>
                <c:pt idx="89">
                  <c:v>-0.31007249025011641</c:v>
                </c:pt>
                <c:pt idx="90">
                  <c:v>-0.30575528286905174</c:v>
                </c:pt>
                <c:pt idx="91">
                  <c:v>-0.30154959455168073</c:v>
                </c:pt>
                <c:pt idx="92">
                  <c:v>-0.29745244177049002</c:v>
                </c:pt>
                <c:pt idx="93">
                  <c:v>-0.29346091422200715</c:v>
                </c:pt>
                <c:pt idx="94">
                  <c:v>-0.28957217395264534</c:v>
                </c:pt>
                <c:pt idx="95">
                  <c:v>-0.28578345439328778</c:v>
                </c:pt>
                <c:pt idx="96">
                  <c:v>-0.28209205931559544</c:v>
                </c:pt>
                <c:pt idx="97">
                  <c:v>-0.2784953617217486</c:v>
                </c:pt>
                <c:pt idx="98">
                  <c:v>-0.27499080267817883</c:v>
                </c:pt>
                <c:pt idx="99">
                  <c:v>-0.2715758901027977</c:v>
                </c:pt>
                <c:pt idx="100">
                  <c:v>-0.26824819751426759</c:v>
                </c:pt>
                <c:pt idx="101">
                  <c:v>-0.26465747827738073</c:v>
                </c:pt>
                <c:pt idx="102">
                  <c:v>-0.26113383168879295</c:v>
                </c:pt>
                <c:pt idx="103">
                  <c:v>-0.2576758447282837</c:v>
                </c:pt>
                <c:pt idx="104">
                  <c:v>-0.25428213523928095</c:v>
                </c:pt>
                <c:pt idx="105">
                  <c:v>-0.25095135137486452</c:v>
                </c:pt>
                <c:pt idx="106">
                  <c:v>-0.24768217103953385</c:v>
                </c:pt>
                <c:pt idx="107">
                  <c:v>-0.24447330132839287</c:v>
                </c:pt>
                <c:pt idx="108">
                  <c:v>-0.24132347796523704</c:v>
                </c:pt>
                <c:pt idx="109">
                  <c:v>-0.23823146474086718</c:v>
                </c:pt>
                <c:pt idx="110">
                  <c:v>-0.23519605295281509</c:v>
                </c:pt>
                <c:pt idx="111">
                  <c:v>-0.23221606084753363</c:v>
                </c:pt>
                <c:pt idx="112">
                  <c:v>-0.22929033306598776</c:v>
                </c:pt>
                <c:pt idx="113">
                  <c:v>-0.22641774009347498</c:v>
                </c:pt>
                <c:pt idx="114">
                  <c:v>-0.22359717771440568</c:v>
                </c:pt>
                <c:pt idx="115">
                  <c:v>-0.22082756647268481</c:v>
                </c:pt>
                <c:pt idx="116">
                  <c:v>-0.21810785113825717</c:v>
                </c:pt>
                <c:pt idx="117">
                  <c:v>-0.21543700018030423</c:v>
                </c:pt>
                <c:pt idx="118">
                  <c:v>-0.21281400524751268</c:v>
                </c:pt>
                <c:pt idx="119">
                  <c:v>-0.21023788065577878</c:v>
                </c:pt>
                <c:pt idx="120">
                  <c:v>-0.20770766288365164</c:v>
                </c:pt>
                <c:pt idx="121">
                  <c:v>-0.20522241007577674</c:v>
                </c:pt>
                <c:pt idx="122">
                  <c:v>-0.2027812015545486</c:v>
                </c:pt>
                <c:pt idx="123">
                  <c:v>-0.20038313734014712</c:v>
                </c:pt>
                <c:pt idx="124">
                  <c:v>-0.19802733767909242</c:v>
                </c:pt>
                <c:pt idx="125">
                  <c:v>-0.19571294258142008</c:v>
                </c:pt>
                <c:pt idx="126">
                  <c:v>-0.19343911136655098</c:v>
                </c:pt>
                <c:pt idx="127">
                  <c:v>-0.191205022217902</c:v>
                </c:pt>
                <c:pt idx="128">
                  <c:v>-0.18900987174625894</c:v>
                </c:pt>
                <c:pt idx="129">
                  <c:v>-0.18685287456191407</c:v>
                </c:pt>
                <c:pt idx="130">
                  <c:v>-0.18473326285554892</c:v>
                </c:pt>
                <c:pt idx="131">
                  <c:v>-0.18265028598782776</c:v>
                </c:pt>
                <c:pt idx="132">
                  <c:v>-0.18060321008765162</c:v>
                </c:pt>
                <c:pt idx="133">
                  <c:v>-0.17859131765900765</c:v>
                </c:pt>
                <c:pt idx="134">
                  <c:v>-0.17661390719633946</c:v>
                </c:pt>
                <c:pt idx="135">
                  <c:v>-0.17467029280835045</c:v>
                </c:pt>
                <c:pt idx="136">
                  <c:v>-0.17275980385014611</c:v>
                </c:pt>
                <c:pt idx="137">
                  <c:v>-0.17088178456361097</c:v>
                </c:pt>
                <c:pt idx="138">
                  <c:v>-0.16903559372590882</c:v>
                </c:pt>
                <c:pt idx="139">
                  <c:v>-0.16722060430599142</c:v>
                </c:pt>
                <c:pt idx="140">
                  <c:v>-0.16543620312899263</c:v>
                </c:pt>
                <c:pt idx="141">
                  <c:v>-0.16368179054838311</c:v>
                </c:pt>
                <c:pt idx="142">
                  <c:v>-0.16195678012575479</c:v>
                </c:pt>
                <c:pt idx="143">
                  <c:v>-0.16026059831810474</c:v>
                </c:pt>
                <c:pt idx="144">
                  <c:v>-0.1585926841724819</c:v>
                </c:pt>
                <c:pt idx="145">
                  <c:v>-0.15695248902786105</c:v>
                </c:pt>
                <c:pt idx="146">
                  <c:v>-0.15533947622410679</c:v>
                </c:pt>
                <c:pt idx="147">
                  <c:v>-0.15375312081788811</c:v>
                </c:pt>
                <c:pt idx="148">
                  <c:v>-0.15219290930540508</c:v>
                </c:pt>
                <c:pt idx="149">
                  <c:v>-0.15065833935178896</c:v>
                </c:pt>
                <c:pt idx="150">
                  <c:v>-0.1491489195270351</c:v>
                </c:pt>
                <c:pt idx="151">
                  <c:v>-0.14792424471745763</c:v>
                </c:pt>
                <c:pt idx="152">
                  <c:v>-0.14671433700034001</c:v>
                </c:pt>
                <c:pt idx="153">
                  <c:v>-0.14551895577695736</c:v>
                </c:pt>
                <c:pt idx="154">
                  <c:v>-0.14433786544436603</c:v>
                </c:pt>
                <c:pt idx="155">
                  <c:v>-0.14317083526868543</c:v>
                </c:pt>
                <c:pt idx="156">
                  <c:v>-0.14201763926218425</c:v>
                </c:pt>
                <c:pt idx="157">
                  <c:v>-0.14087805606403883</c:v>
                </c:pt>
                <c:pt idx="158">
                  <c:v>-0.13975186882463683</c:v>
                </c:pt>
                <c:pt idx="159">
                  <c:v>-0.13863886509330481</c:v>
                </c:pt>
                <c:pt idx="160">
                  <c:v>-0.13753883670934211</c:v>
                </c:pt>
                <c:pt idx="161">
                  <c:v>-0.13645157969624949</c:v>
                </c:pt>
                <c:pt idx="162">
                  <c:v>-0.13537689415904328</c:v>
                </c:pt>
                <c:pt idx="163">
                  <c:v>-0.13431458418455217</c:v>
                </c:pt>
                <c:pt idx="164">
                  <c:v>-0.13326445774459525</c:v>
                </c:pt>
                <c:pt idx="165">
                  <c:v>-0.13222632660194633</c:v>
                </c:pt>
                <c:pt idx="166">
                  <c:v>-0.13120000621899172</c:v>
                </c:pt>
                <c:pt idx="167">
                  <c:v>-0.13018531566899105</c:v>
                </c:pt>
                <c:pt idx="168">
                  <c:v>-0.12918207754985755</c:v>
                </c:pt>
                <c:pt idx="169">
                  <c:v>-0.12819011790037355</c:v>
                </c:pt>
                <c:pt idx="170">
                  <c:v>-0.12720926611876213</c:v>
                </c:pt>
                <c:pt idx="171">
                  <c:v>-0.12623935488353882</c:v>
                </c:pt>
                <c:pt idx="172">
                  <c:v>-0.12528022007656914</c:v>
                </c:pt>
                <c:pt idx="173">
                  <c:v>-0.1243317007082609</c:v>
                </c:pt>
                <c:pt idx="174">
                  <c:v>-0.12339363884482356</c:v>
                </c:pt>
                <c:pt idx="175">
                  <c:v>-0.12246587953752729</c:v>
                </c:pt>
                <c:pt idx="176">
                  <c:v>-0.12154827075390026</c:v>
                </c:pt>
                <c:pt idx="177">
                  <c:v>-0.12064066331080027</c:v>
                </c:pt>
                <c:pt idx="178">
                  <c:v>-0.11974291080930399</c:v>
                </c:pt>
                <c:pt idx="179">
                  <c:v>-0.11885486957135602</c:v>
                </c:pt>
                <c:pt idx="180">
                  <c:v>-0.11797639857812159</c:v>
                </c:pt>
                <c:pt idx="181">
                  <c:v>-0.11710735940999228</c:v>
                </c:pt>
                <c:pt idx="182">
                  <c:v>-0.11624761618819177</c:v>
                </c:pt>
                <c:pt idx="183">
                  <c:v>-0.11539703551793257</c:v>
                </c:pt>
                <c:pt idx="184">
                  <c:v>-0.11455548643307736</c:v>
                </c:pt>
                <c:pt idx="185">
                  <c:v>-0.1137228403422571</c:v>
                </c:pt>
                <c:pt idx="186">
                  <c:v>-0.11289897097640327</c:v>
                </c:pt>
                <c:pt idx="187">
                  <c:v>-0.11208375433765</c:v>
                </c:pt>
                <c:pt idx="188">
                  <c:v>-0.11127706864956596</c:v>
                </c:pt>
                <c:pt idx="189">
                  <c:v>-0.11047879430867531</c:v>
                </c:pt>
                <c:pt idx="190">
                  <c:v>-0.10968881383722903</c:v>
                </c:pt>
                <c:pt idx="191">
                  <c:v>-0.1089070118371902</c:v>
                </c:pt>
                <c:pt idx="192">
                  <c:v>-0.10813327494539615</c:v>
                </c:pt>
                <c:pt idx="193">
                  <c:v>-0.10736749178986353</c:v>
                </c:pt>
                <c:pt idx="194">
                  <c:v>-0.1066095529472024</c:v>
                </c:pt>
                <c:pt idx="195">
                  <c:v>-0.10585935090110624</c:v>
                </c:pt>
                <c:pt idx="196">
                  <c:v>-0.10511678000188775</c:v>
                </c:pt>
                <c:pt idx="197">
                  <c:v>-0.10438173642702872</c:v>
                </c:pt>
                <c:pt idx="198">
                  <c:v>-0.10365411814271523</c:v>
                </c:pt>
                <c:pt idx="199">
                  <c:v>-0.10293382486633015</c:v>
                </c:pt>
                <c:pt idx="200">
                  <c:v>-0.10222075802987401</c:v>
                </c:pt>
                <c:pt idx="201">
                  <c:v>-0.10151482074428993</c:v>
                </c:pt>
                <c:pt idx="202">
                  <c:v>-0.1008159177646643</c:v>
                </c:pt>
                <c:pt idx="203">
                  <c:v>-0.10012395545628042</c:v>
                </c:pt>
                <c:pt idx="204">
                  <c:v>-9.9438841761499766E-2</c:v>
                </c:pt>
                <c:pt idx="205">
                  <c:v>-9.8760486167448064E-2</c:v>
                </c:pt>
                <c:pt idx="206">
                  <c:v>-9.8088799674483598E-2</c:v>
                </c:pt>
                <c:pt idx="207">
                  <c:v>-9.7423694765425492E-2</c:v>
                </c:pt>
                <c:pt idx="208">
                  <c:v>-9.6765085375521295E-2</c:v>
                </c:pt>
                <c:pt idx="209">
                  <c:v>-9.6112886863133129E-2</c:v>
                </c:pt>
                <c:pt idx="210">
                  <c:v>-9.5467015981122547E-2</c:v>
                </c:pt>
                <c:pt idx="211">
                  <c:v>-9.4827390848914797E-2</c:v>
                </c:pt>
                <c:pt idx="212">
                  <c:v>-9.4193930925224323E-2</c:v>
                </c:pt>
                <c:pt idx="213">
                  <c:v>-9.3566556981422327E-2</c:v>
                </c:pt>
                <c:pt idx="214">
                  <c:v>-9.2945191075530759E-2</c:v>
                </c:pt>
                <c:pt idx="215">
                  <c:v>-9.2329756526823514E-2</c:v>
                </c:pt>
                <c:pt idx="216">
                  <c:v>-9.1720177891020577E-2</c:v>
                </c:pt>
                <c:pt idx="217">
                  <c:v>-9.1116380936057409E-2</c:v>
                </c:pt>
                <c:pt idx="218">
                  <c:v>-9.0518292618415472E-2</c:v>
                </c:pt>
                <c:pt idx="219">
                  <c:v>-8.9925841059997902E-2</c:v>
                </c:pt>
                <c:pt idx="220">
                  <c:v>-8.9338955525536709E-2</c:v>
                </c:pt>
                <c:pt idx="221">
                  <c:v>-8.8757566400516547E-2</c:v>
                </c:pt>
                <c:pt idx="222">
                  <c:v>-8.8181605169602259E-2</c:v>
                </c:pt>
                <c:pt idx="223">
                  <c:v>-8.7611004395556122E-2</c:v>
                </c:pt>
                <c:pt idx="224">
                  <c:v>-8.7045697698632504E-2</c:v>
                </c:pt>
                <c:pt idx="225">
                  <c:v>-8.6485619736437425E-2</c:v>
                </c:pt>
                <c:pt idx="226">
                  <c:v>-8.5930706184240549E-2</c:v>
                </c:pt>
                <c:pt idx="227">
                  <c:v>-8.5380893715728379E-2</c:v>
                </c:pt>
                <c:pt idx="228">
                  <c:v>-8.4836119984186664E-2</c:v>
                </c:pt>
                <c:pt idx="229">
                  <c:v>-8.4296323604101581E-2</c:v>
                </c:pt>
                <c:pt idx="230">
                  <c:v>-8.3761444133168411E-2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E1-4882-BAC2-492CF09EE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483376"/>
        <c:axId val="299484360"/>
      </c:scatterChart>
      <c:valAx>
        <c:axId val="29948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484360"/>
        <c:crosses val="autoZero"/>
        <c:crossBetween val="midCat"/>
      </c:valAx>
      <c:valAx>
        <c:axId val="299484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483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c''</a:t>
            </a:r>
            <a:r>
              <a:rPr lang="pt-BR" sz="1400" b="0" i="0" u="none" strike="noStrike" baseline="0">
                <a:effectLst/>
              </a:rPr>
              <a:t>(k; f, </a:t>
            </a:r>
            <a:r>
              <a:rPr lang="el-GR" sz="1400" b="0" i="0" u="none" strike="noStrike" baseline="0">
                <a:effectLst/>
              </a:rPr>
              <a:t>Σ</a:t>
            </a:r>
            <a:r>
              <a:rPr lang="pt-BR" sz="1400" b="0" i="0" u="none" strike="noStrike" baseline="0">
                <a:effectLst/>
              </a:rPr>
              <a:t>, a, b)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'Exemplo Base C2it'!$V$2:$V$232</c:f>
              <c:numCache>
                <c:formatCode>General</c:formatCode>
                <c:ptCount val="2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</c:numCache>
            </c:numRef>
          </c:xVal>
          <c:yVal>
            <c:numRef>
              <c:f>'Exemplo Base C2it'!$Y$2:$Y$232</c:f>
              <c:numCache>
                <c:formatCode>0.0000</c:formatCode>
                <c:ptCount val="231"/>
                <c:pt idx="0" formatCode="General">
                  <c:v>0</c:v>
                </c:pt>
                <c:pt idx="1">
                  <c:v>4.0518020596873542E-3</c:v>
                </c:pt>
                <c:pt idx="2">
                  <c:v>1.6108286907237573E-2</c:v>
                </c:pt>
                <c:pt idx="3">
                  <c:v>3.0311285361936995E-2</c:v>
                </c:pt>
                <c:pt idx="4">
                  <c:v>4.3888463003980596E-2</c:v>
                </c:pt>
                <c:pt idx="5">
                  <c:v>5.5920146400601632E-2</c:v>
                </c:pt>
                <c:pt idx="6">
                  <c:v>6.6208378587560388E-2</c:v>
                </c:pt>
                <c:pt idx="7">
                  <c:v>7.4828534200582483E-2</c:v>
                </c:pt>
                <c:pt idx="8">
                  <c:v>8.1950435851603706E-2</c:v>
                </c:pt>
                <c:pt idx="9">
                  <c:v>8.7765446942930148E-2</c:v>
                </c:pt>
                <c:pt idx="10">
                  <c:v>9.2457204169942173E-2</c:v>
                </c:pt>
                <c:pt idx="11">
                  <c:v>9.6190953134701662E-2</c:v>
                </c:pt>
                <c:pt idx="12">
                  <c:v>9.9110902696828776E-2</c:v>
                </c:pt>
                <c:pt idx="13">
                  <c:v>0.10134094977151153</c:v>
                </c:pt>
                <c:pt idx="14">
                  <c:v>0.10298668863772809</c:v>
                </c:pt>
                <c:pt idx="15">
                  <c:v>0.10413776792441523</c:v>
                </c:pt>
                <c:pt idx="16">
                  <c:v>0.104870187305586</c:v>
                </c:pt>
                <c:pt idx="17">
                  <c:v>0.10524837232503133</c:v>
                </c:pt>
                <c:pt idx="18">
                  <c:v>0.10532697992501383</c:v>
                </c:pt>
                <c:pt idx="19">
                  <c:v>0.10515243840353061</c:v>
                </c:pt>
                <c:pt idx="20">
                  <c:v>0.10476424647415772</c:v>
                </c:pt>
                <c:pt idx="21">
                  <c:v>0.10419606271073831</c:v>
                </c:pt>
                <c:pt idx="22">
                  <c:v>0.1034766166863986</c:v>
                </c:pt>
                <c:pt idx="23">
                  <c:v>0.10263047036730161</c:v>
                </c:pt>
                <c:pt idx="24">
                  <c:v>0.10167865463984561</c:v>
                </c:pt>
                <c:pt idx="25">
                  <c:v>0.10063920209920359</c:v>
                </c:pt>
                <c:pt idx="26">
                  <c:v>9.9527593781174234E-2</c:v>
                </c:pt>
                <c:pt idx="27">
                  <c:v>9.8357134510974234E-2</c:v>
                </c:pt>
                <c:pt idx="28">
                  <c:v>9.7139268989477848E-2</c:v>
                </c:pt>
                <c:pt idx="29">
                  <c:v>9.5883848606124408E-2</c:v>
                </c:pt>
                <c:pt idx="30">
                  <c:v>9.4599357205903872E-2</c:v>
                </c:pt>
                <c:pt idx="31">
                  <c:v>9.3293102589663349E-2</c:v>
                </c:pt>
                <c:pt idx="32">
                  <c:v>9.1971379340196432E-2</c:v>
                </c:pt>
                <c:pt idx="33">
                  <c:v>9.0639607595207408E-2</c:v>
                </c:pt>
                <c:pt idx="34">
                  <c:v>8.9302451593219923E-2</c:v>
                </c:pt>
                <c:pt idx="35">
                  <c:v>8.7963921167297274E-2</c:v>
                </c:pt>
                <c:pt idx="36">
                  <c:v>8.6627458827310794E-2</c:v>
                </c:pt>
                <c:pt idx="37">
                  <c:v>8.5296014632616407E-2</c:v>
                </c:pt>
                <c:pt idx="38">
                  <c:v>8.3972110695647403E-2</c:v>
                </c:pt>
                <c:pt idx="39">
                  <c:v>8.2657896858748456E-2</c:v>
                </c:pt>
                <c:pt idx="40">
                  <c:v>8.1355198839936888E-2</c:v>
                </c:pt>
                <c:pt idx="41">
                  <c:v>8.0065559938774622E-2</c:v>
                </c:pt>
                <c:pt idx="42">
                  <c:v>7.8790277223552488E-2</c:v>
                </c:pt>
                <c:pt idx="43">
                  <c:v>7.7530432979346184E-2</c:v>
                </c:pt>
                <c:pt idx="44">
                  <c:v>7.6286922078183272E-2</c:v>
                </c:pt>
                <c:pt idx="45">
                  <c:v>7.5060475833480744E-2</c:v>
                </c:pt>
                <c:pt idx="46">
                  <c:v>7.3851682817740363E-2</c:v>
                </c:pt>
                <c:pt idx="47">
                  <c:v>7.2661007052505971E-2</c:v>
                </c:pt>
                <c:pt idx="48">
                  <c:v>7.1488803920560826E-2</c:v>
                </c:pt>
                <c:pt idx="49">
                  <c:v>7.0335334100446595E-2</c:v>
                </c:pt>
                <c:pt idx="50">
                  <c:v>8.3142146911404424E-2</c:v>
                </c:pt>
                <c:pt idx="51">
                  <c:v>8.3489673061890132E-2</c:v>
                </c:pt>
                <c:pt idx="52">
                  <c:v>8.3762318260878918E-2</c:v>
                </c:pt>
                <c:pt idx="53">
                  <c:v>8.3963569196798038E-2</c:v>
                </c:pt>
                <c:pt idx="54">
                  <c:v>8.4096856638282758E-2</c:v>
                </c:pt>
                <c:pt idx="55">
                  <c:v>8.4165545072813819E-2</c:v>
                </c:pt>
                <c:pt idx="56">
                  <c:v>8.4172924175903149E-2</c:v>
                </c:pt>
                <c:pt idx="57">
                  <c:v>8.4122201894661131E-2</c:v>
                </c:pt>
                <c:pt idx="58">
                  <c:v>8.4016498951078392E-2</c:v>
                </c:pt>
                <c:pt idx="59">
                  <c:v>8.3858844590119108E-2</c:v>
                </c:pt>
                <c:pt idx="60">
                  <c:v>8.3652173415817765E-2</c:v>
                </c:pt>
                <c:pt idx="61">
                  <c:v>8.339932317507949E-2</c:v>
                </c:pt>
                <c:pt idx="62">
                  <c:v>8.3103033363893714E-2</c:v>
                </c:pt>
                <c:pt idx="63">
                  <c:v>8.2765944544285389E-2</c:v>
                </c:pt>
                <c:pt idx="64">
                  <c:v>8.2390598272641641E-2</c:v>
                </c:pt>
                <c:pt idx="65">
                  <c:v>8.1979437551169168E-2</c:v>
                </c:pt>
                <c:pt idx="66">
                  <c:v>8.15348077242527E-2</c:v>
                </c:pt>
                <c:pt idx="67">
                  <c:v>8.1058957750490351E-2</c:v>
                </c:pt>
                <c:pt idx="68">
                  <c:v>8.0554041789268754E-2</c:v>
                </c:pt>
                <c:pt idx="69">
                  <c:v>8.0022121047988309E-2</c:v>
                </c:pt>
                <c:pt idx="70">
                  <c:v>7.193452863851256E-2</c:v>
                </c:pt>
                <c:pt idx="71">
                  <c:v>7.0093794459513956E-2</c:v>
                </c:pt>
                <c:pt idx="72">
                  <c:v>6.829584114920452E-2</c:v>
                </c:pt>
                <c:pt idx="73">
                  <c:v>6.6540300273340042E-2</c:v>
                </c:pt>
                <c:pt idx="74">
                  <c:v>6.4826735711963096E-2</c:v>
                </c:pt>
                <c:pt idx="75">
                  <c:v>6.3154652484735438E-2</c:v>
                </c:pt>
                <c:pt idx="76">
                  <c:v>6.1523504734475896E-2</c:v>
                </c:pt>
                <c:pt idx="77">
                  <c:v>5.993270294204623E-2</c:v>
                </c:pt>
                <c:pt idx="78">
                  <c:v>5.8381620439751328E-2</c:v>
                </c:pt>
                <c:pt idx="79">
                  <c:v>5.6869599284884075E-2</c:v>
                </c:pt>
                <c:pt idx="80">
                  <c:v>5.5395955549927163E-2</c:v>
                </c:pt>
                <c:pt idx="81">
                  <c:v>5.3959984081195705E-2</c:v>
                </c:pt>
                <c:pt idx="82">
                  <c:v>5.2560962773346473E-2</c:v>
                </c:pt>
                <c:pt idx="83">
                  <c:v>5.1198156403164927E-2</c:v>
                </c:pt>
                <c:pt idx="84">
                  <c:v>4.987082006234729E-2</c:v>
                </c:pt>
                <c:pt idx="85">
                  <c:v>4.8578202225599297E-2</c:v>
                </c:pt>
                <c:pt idx="86">
                  <c:v>4.7319547487255427E-2</c:v>
                </c:pt>
                <c:pt idx="87">
                  <c:v>4.6094098996759564E-2</c:v>
                </c:pt>
                <c:pt idx="88">
                  <c:v>4.4901100620722861E-2</c:v>
                </c:pt>
                <c:pt idx="89">
                  <c:v>4.3739798856868316E-2</c:v>
                </c:pt>
                <c:pt idx="90">
                  <c:v>4.2609444522966264E-2</c:v>
                </c:pt>
                <c:pt idx="91">
                  <c:v>4.1509294241846142E-2</c:v>
                </c:pt>
                <c:pt idx="92">
                  <c:v>4.0438611741720733E-2</c:v>
                </c:pt>
                <c:pt idx="93">
                  <c:v>3.9396668989368368E-2</c:v>
                </c:pt>
                <c:pt idx="94">
                  <c:v>3.8382747172170342E-2</c:v>
                </c:pt>
                <c:pt idx="95">
                  <c:v>3.7396137543586061E-2</c:v>
                </c:pt>
                <c:pt idx="96">
                  <c:v>3.6436142145355004E-2</c:v>
                </c:pt>
                <c:pt idx="97">
                  <c:v>3.5502074418531086E-2</c:v>
                </c:pt>
                <c:pt idx="98">
                  <c:v>3.459325971437513E-2</c:v>
                </c:pt>
                <c:pt idx="99">
                  <c:v>3.3709035715143429E-2</c:v>
                </c:pt>
                <c:pt idx="100">
                  <c:v>3.6247343935225641E-2</c:v>
                </c:pt>
                <c:pt idx="101">
                  <c:v>3.5569448098805703E-2</c:v>
                </c:pt>
                <c:pt idx="102">
                  <c:v>3.4905838615281168E-2</c:v>
                </c:pt>
                <c:pt idx="103">
                  <c:v>3.4256204096812931E-2</c:v>
                </c:pt>
                <c:pt idx="104">
                  <c:v>3.3620238668365381E-2</c:v>
                </c:pt>
                <c:pt idx="105">
                  <c:v>3.2997642018959591E-2</c:v>
                </c:pt>
                <c:pt idx="106">
                  <c:v>3.2388119435463561E-2</c:v>
                </c:pt>
                <c:pt idx="107">
                  <c:v>3.1791381820720638E-2</c:v>
                </c:pt>
                <c:pt idx="108">
                  <c:v>3.1207145697657118E-2</c:v>
                </c:pt>
                <c:pt idx="109">
                  <c:v>3.0635133200862578E-2</c:v>
                </c:pt>
                <c:pt idx="110">
                  <c:v>3.0075072057003098E-2</c:v>
                </c:pt>
                <c:pt idx="111">
                  <c:v>2.9526695555304527E-2</c:v>
                </c:pt>
                <c:pt idx="112">
                  <c:v>2.898974250923193E-2</c:v>
                </c:pt>
                <c:pt idx="113">
                  <c:v>2.8463957210388954E-2</c:v>
                </c:pt>
                <c:pt idx="114">
                  <c:v>2.7949089375568191E-2</c:v>
                </c:pt>
                <c:pt idx="115">
                  <c:v>2.7444894087798048E-2</c:v>
                </c:pt>
                <c:pt idx="116">
                  <c:v>2.695113173215476E-2</c:v>
                </c:pt>
                <c:pt idx="117">
                  <c:v>2.646756792703674E-2</c:v>
                </c:pt>
                <c:pt idx="118">
                  <c:v>2.5993973451533849E-2</c:v>
                </c:pt>
                <c:pt idx="119">
                  <c:v>2.5530124169465422E-2</c:v>
                </c:pt>
                <c:pt idx="120">
                  <c:v>2.50758009506062E-2</c:v>
                </c:pt>
                <c:pt idx="121">
                  <c:v>2.4630789589570892E-2</c:v>
                </c:pt>
                <c:pt idx="122">
                  <c:v>2.4194880722782197E-2</c:v>
                </c:pt>
                <c:pt idx="123">
                  <c:v>2.3767869743906704E-2</c:v>
                </c:pt>
                <c:pt idx="124">
                  <c:v>2.3349556718105166E-2</c:v>
                </c:pt>
                <c:pt idx="125">
                  <c:v>2.2939746295409392E-2</c:v>
                </c:pt>
                <c:pt idx="126">
                  <c:v>2.2538247623506986E-2</c:v>
                </c:pt>
                <c:pt idx="127">
                  <c:v>2.2144874260186284E-2</c:v>
                </c:pt>
                <c:pt idx="128">
                  <c:v>2.1759444085668024E-2</c:v>
                </c:pt>
                <c:pt idx="129">
                  <c:v>2.138177921502641E-2</c:v>
                </c:pt>
                <c:pt idx="130">
                  <c:v>2.101170591088054E-2</c:v>
                </c:pt>
                <c:pt idx="131">
                  <c:v>2.0649054496517535E-2</c:v>
                </c:pt>
                <c:pt idx="132">
                  <c:v>2.0293659269590578E-2</c:v>
                </c:pt>
                <c:pt idx="133">
                  <c:v>1.9945358416518653E-2</c:v>
                </c:pt>
                <c:pt idx="134">
                  <c:v>1.9603993927699959E-2</c:v>
                </c:pt>
                <c:pt idx="135">
                  <c:v>1.9269411513637178E-2</c:v>
                </c:pt>
                <c:pt idx="136">
                  <c:v>1.8941460522060565E-2</c:v>
                </c:pt>
                <c:pt idx="137">
                  <c:v>1.8619993856123611E-2</c:v>
                </c:pt>
                <c:pt idx="138">
                  <c:v>1.8304867893735446E-2</c:v>
                </c:pt>
                <c:pt idx="139">
                  <c:v>1.7995942408085417E-2</c:v>
                </c:pt>
                <c:pt idx="140">
                  <c:v>1.7693080489406321E-2</c:v>
                </c:pt>
                <c:pt idx="141">
                  <c:v>1.7396148468015609E-2</c:v>
                </c:pt>
                <c:pt idx="142">
                  <c:v>1.7105015838666388E-2</c:v>
                </c:pt>
                <c:pt idx="143">
                  <c:v>1.6819555186234535E-2</c:v>
                </c:pt>
                <c:pt idx="144">
                  <c:v>1.6539642112761779E-2</c:v>
                </c:pt>
                <c:pt idx="145">
                  <c:v>1.6265155165870137E-2</c:v>
                </c:pt>
                <c:pt idx="146">
                  <c:v>1.5995975768558164E-2</c:v>
                </c:pt>
                <c:pt idx="147">
                  <c:v>1.5731988150385377E-2</c:v>
                </c:pt>
                <c:pt idx="148">
                  <c:v>1.5473079280047578E-2</c:v>
                </c:pt>
                <c:pt idx="149">
                  <c:v>1.5219138799342488E-2</c:v>
                </c:pt>
                <c:pt idx="150">
                  <c:v>1.2321398303247987E-2</c:v>
                </c:pt>
                <c:pt idx="151">
                  <c:v>1.217250740779055E-2</c:v>
                </c:pt>
                <c:pt idx="152">
                  <c:v>1.2026047910663591E-2</c:v>
                </c:pt>
                <c:pt idx="153">
                  <c:v>1.1881969207445308E-2</c:v>
                </c:pt>
                <c:pt idx="154">
                  <c:v>1.1740221980366795E-2</c:v>
                </c:pt>
                <c:pt idx="155">
                  <c:v>1.1600758159594096E-2</c:v>
                </c:pt>
                <c:pt idx="156">
                  <c:v>1.1463530885855824E-2</c:v>
                </c:pt>
                <c:pt idx="157">
                  <c:v>1.1328494474363406E-2</c:v>
                </c:pt>
                <c:pt idx="158">
                  <c:v>1.119560437997325E-2</c:v>
                </c:pt>
                <c:pt idx="159">
                  <c:v>1.1064817163542516E-2</c:v>
                </c:pt>
                <c:pt idx="160">
                  <c:v>1.0936090459432012E-2</c:v>
                </c:pt>
                <c:pt idx="161">
                  <c:v>1.0809382944112099E-2</c:v>
                </c:pt>
                <c:pt idx="162">
                  <c:v>1.0684654305829017E-2</c:v>
                </c:pt>
                <c:pt idx="163">
                  <c:v>1.0561865215291139E-2</c:v>
                </c:pt>
                <c:pt idx="164">
                  <c:v>1.0440977297336285E-2</c:v>
                </c:pt>
                <c:pt idx="165">
                  <c:v>1.0321953103542836E-2</c:v>
                </c:pt>
                <c:pt idx="166">
                  <c:v>1.0204756085749139E-2</c:v>
                </c:pt>
                <c:pt idx="167">
                  <c:v>1.0089350570446895E-2</c:v>
                </c:pt>
                <c:pt idx="168">
                  <c:v>9.97570173401598E-3</c:v>
                </c:pt>
                <c:pt idx="169">
                  <c:v>9.8637755787693276E-3</c:v>
                </c:pt>
                <c:pt idx="170">
                  <c:v>9.7535389097777644E-3</c:v>
                </c:pt>
                <c:pt idx="171">
                  <c:v>9.6449593124461226E-3</c:v>
                </c:pt>
                <c:pt idx="172">
                  <c:v>9.538005130812939E-3</c:v>
                </c:pt>
                <c:pt idx="173">
                  <c:v>9.4326454465473008E-3</c:v>
                </c:pt>
                <c:pt idx="174">
                  <c:v>9.3288500586174664E-3</c:v>
                </c:pt>
                <c:pt idx="175">
                  <c:v>9.2265894636068511E-3</c:v>
                </c:pt>
                <c:pt idx="176">
                  <c:v>9.1258348366540856E-3</c:v>
                </c:pt>
                <c:pt idx="177">
                  <c:v>9.0265580129946094E-3</c:v>
                </c:pt>
                <c:pt idx="178">
                  <c:v>8.9287314700823538E-3</c:v>
                </c:pt>
                <c:pt idx="179">
                  <c:v>8.8323283102708684E-3</c:v>
                </c:pt>
                <c:pt idx="180">
                  <c:v>8.7373222440338891E-3</c:v>
                </c:pt>
                <c:pt idx="181">
                  <c:v>8.643687573706503E-3</c:v>
                </c:pt>
                <c:pt idx="182">
                  <c:v>8.5513991777284304E-3</c:v>
                </c:pt>
                <c:pt idx="183">
                  <c:v>8.460432495371888E-3</c:v>
                </c:pt>
                <c:pt idx="184">
                  <c:v>8.3707635119372112E-3</c:v>
                </c:pt>
                <c:pt idx="185">
                  <c:v>8.2823687443998248E-3</c:v>
                </c:pt>
                <c:pt idx="186">
                  <c:v>8.1952252274931515E-3</c:v>
                </c:pt>
                <c:pt idx="187">
                  <c:v>8.1093105002122551E-3</c:v>
                </c:pt>
                <c:pt idx="188">
                  <c:v>8.024602592723926E-3</c:v>
                </c:pt>
                <c:pt idx="189">
                  <c:v>7.9410800136692911E-3</c:v>
                </c:pt>
                <c:pt idx="190">
                  <c:v>7.8587217378455424E-3</c:v>
                </c:pt>
                <c:pt idx="191">
                  <c:v>7.7775071942540498E-3</c:v>
                </c:pt>
                <c:pt idx="192">
                  <c:v>7.6974162545023891E-3</c:v>
                </c:pt>
                <c:pt idx="193">
                  <c:v>7.6184292215484752E-3</c:v>
                </c:pt>
                <c:pt idx="194">
                  <c:v>7.5405268187753423E-3</c:v>
                </c:pt>
                <c:pt idx="195">
                  <c:v>7.4636901793855006E-3</c:v>
                </c:pt>
                <c:pt idx="196">
                  <c:v>7.3879008361043587E-3</c:v>
                </c:pt>
                <c:pt idx="197">
                  <c:v>7.3131407111824117E-3</c:v>
                </c:pt>
                <c:pt idx="198">
                  <c:v>7.2393921066863888E-3</c:v>
                </c:pt>
                <c:pt idx="199">
                  <c:v>7.1666376950699443E-3</c:v>
                </c:pt>
                <c:pt idx="200">
                  <c:v>7.0948605100146353E-3</c:v>
                </c:pt>
                <c:pt idx="201">
                  <c:v>7.0240439375325592E-3</c:v>
                </c:pt>
                <c:pt idx="202">
                  <c:v>6.9541717073220242E-3</c:v>
                </c:pt>
                <c:pt idx="203">
                  <c:v>6.8852278843681792E-3</c:v>
                </c:pt>
                <c:pt idx="204">
                  <c:v>6.8171968607807082E-3</c:v>
                </c:pt>
                <c:pt idx="205">
                  <c:v>6.7500633478609863E-3</c:v>
                </c:pt>
                <c:pt idx="206">
                  <c:v>6.6838123683914006E-3</c:v>
                </c:pt>
                <c:pt idx="207">
                  <c:v>6.618429249139763E-3</c:v>
                </c:pt>
                <c:pt idx="208">
                  <c:v>6.5538996135720024E-3</c:v>
                </c:pt>
                <c:pt idx="209">
                  <c:v>6.4902093747666017E-3</c:v>
                </c:pt>
                <c:pt idx="210">
                  <c:v>6.4273447285244194E-3</c:v>
                </c:pt>
                <c:pt idx="211">
                  <c:v>6.3652921466677932E-3</c:v>
                </c:pt>
                <c:pt idx="212">
                  <c:v>6.3040383705230234E-3</c:v>
                </c:pt>
                <c:pt idx="213">
                  <c:v>6.2435704045805292E-3</c:v>
                </c:pt>
                <c:pt idx="214">
                  <c:v>6.1838755103272476E-3</c:v>
                </c:pt>
                <c:pt idx="215">
                  <c:v>6.124941200245859E-3</c:v>
                </c:pt>
                <c:pt idx="216">
                  <c:v>6.0667552319758405E-3</c:v>
                </c:pt>
                <c:pt idx="217">
                  <c:v>6.0093056026312933E-3</c:v>
                </c:pt>
                <c:pt idx="218">
                  <c:v>5.9525805432708414E-3</c:v>
                </c:pt>
                <c:pt idx="219">
                  <c:v>5.8965685135149498E-3</c:v>
                </c:pt>
                <c:pt idx="220">
                  <c:v>5.8412581963062146E-3</c:v>
                </c:pt>
                <c:pt idx="221">
                  <c:v>5.7866384928083221E-3</c:v>
                </c:pt>
                <c:pt idx="222">
                  <c:v>5.7326985174395101E-3</c:v>
                </c:pt>
                <c:pt idx="223">
                  <c:v>5.6794275930364922E-3</c:v>
                </c:pt>
                <c:pt idx="224">
                  <c:v>5.6268152461449944E-3</c:v>
                </c:pt>
                <c:pt idx="225">
                  <c:v>5.5748512024331133E-3</c:v>
                </c:pt>
                <c:pt idx="226">
                  <c:v>5.5235253822238841E-3</c:v>
                </c:pt>
                <c:pt idx="227">
                  <c:v>5.4728278961435253E-3</c:v>
                </c:pt>
                <c:pt idx="228">
                  <c:v>5.4227490408819638E-3</c:v>
                </c:pt>
                <c:pt idx="229">
                  <c:v>5.3732792950623885E-3</c:v>
                </c:pt>
                <c:pt idx="230">
                  <c:v>5.3244093152165972E-3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7C-49FE-BE51-2B59EB2C0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483376"/>
        <c:axId val="299484360"/>
      </c:scatterChart>
      <c:valAx>
        <c:axId val="29948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484360"/>
        <c:crosses val="autoZero"/>
        <c:crossBetween val="midCat"/>
      </c:valAx>
      <c:valAx>
        <c:axId val="299484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483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baseline="0">
                <a:effectLst/>
              </a:rPr>
              <a:t>c(k; f, </a:t>
            </a:r>
            <a:r>
              <a:rPr lang="el-GR" sz="1400" b="0" i="0" u="none" strike="noStrike" baseline="0">
                <a:effectLst/>
              </a:rPr>
              <a:t>Σ</a:t>
            </a:r>
            <a:r>
              <a:rPr lang="pt-BR" sz="1400" b="0" i="0" u="none" strike="noStrike" baseline="0">
                <a:effectLst/>
              </a:rPr>
              <a:t>, a, b)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'Exemplo Base C2'!$A$4:$E$4</c:f>
              <c:numCache>
                <c:formatCode>General</c:formatCode>
                <c:ptCount val="5"/>
                <c:pt idx="0">
                  <c:v>0</c:v>
                </c:pt>
                <c:pt idx="1">
                  <c:v>5</c:v>
                </c:pt>
                <c:pt idx="2">
                  <c:v>7</c:v>
                </c:pt>
                <c:pt idx="3">
                  <c:v>10</c:v>
                </c:pt>
                <c:pt idx="4">
                  <c:v>15</c:v>
                </c:pt>
              </c:numCache>
            </c:numRef>
          </c:xVal>
          <c:yVal>
            <c:numRef>
              <c:f>'Exemplo Base C2'!$A$2:$E$2</c:f>
              <c:numCache>
                <c:formatCode>General</c:formatCode>
                <c:ptCount val="5"/>
                <c:pt idx="0">
                  <c:v>10</c:v>
                </c:pt>
                <c:pt idx="1">
                  <c:v>6</c:v>
                </c:pt>
                <c:pt idx="2">
                  <c:v>5</c:v>
                </c:pt>
                <c:pt idx="3">
                  <c:v>4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76-4482-AA6D-051D2C590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483376"/>
        <c:axId val="299484360"/>
      </c:scatterChart>
      <c:scatterChart>
        <c:scatterStyle val="smooth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'Exemplo Base C2'!$V$2:$V$232</c:f>
              <c:numCache>
                <c:formatCode>General</c:formatCode>
                <c:ptCount val="2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</c:numCache>
            </c:numRef>
          </c:xVal>
          <c:yVal>
            <c:numRef>
              <c:f>'Exemplo Base C2'!$W$2:$W$232</c:f>
              <c:numCache>
                <c:formatCode>General</c:formatCode>
                <c:ptCount val="231"/>
                <c:pt idx="0">
                  <c:v>10</c:v>
                </c:pt>
                <c:pt idx="1">
                  <c:v>9.9000013941681502</c:v>
                </c:pt>
                <c:pt idx="2">
                  <c:v>9.8000347052567989</c:v>
                </c:pt>
                <c:pt idx="3">
                  <c:v>9.7001913100594965</c:v>
                </c:pt>
                <c:pt idx="4">
                  <c:v>9.600595109346159</c:v>
                </c:pt>
                <c:pt idx="5">
                  <c:v>9.5013747138515825</c:v>
                </c:pt>
                <c:pt idx="6">
                  <c:v>9.4026505941770111</c:v>
                </c:pt>
                <c:pt idx="7">
                  <c:v>9.3045301816858554</c:v>
                </c:pt>
                <c:pt idx="8">
                  <c:v>9.2071066608866214</c:v>
                </c:pt>
                <c:pt idx="9">
                  <c:v>9.1104594130949614</c:v>
                </c:pt>
                <c:pt idx="10">
                  <c:v>9.0146551462537907</c:v>
                </c:pt>
                <c:pt idx="11">
                  <c:v>8.9197492521973274</c:v>
                </c:pt>
                <c:pt idx="12">
                  <c:v>8.8257871755814019</c:v>
                </c:pt>
                <c:pt idx="13">
                  <c:v>8.7328056975755661</c:v>
                </c:pt>
                <c:pt idx="14">
                  <c:v>8.6408340961866479</c:v>
                </c:pt>
                <c:pt idx="15">
                  <c:v>8.5498951739851741</c:v>
                </c:pt>
                <c:pt idx="16">
                  <c:v>8.4600061577787145</c:v>
                </c:pt>
                <c:pt idx="17">
                  <c:v>8.3711794808147584</c:v>
                </c:pt>
                <c:pt idx="18">
                  <c:v>8.2834234601928713</c:v>
                </c:pt>
                <c:pt idx="19">
                  <c:v>8.1967428822978174</c:v>
                </c:pt>
                <c:pt idx="20">
                  <c:v>8.1111395082703552</c:v>
                </c:pt>
                <c:pt idx="21">
                  <c:v>8.026612510354429</c:v>
                </c:pt>
                <c:pt idx="22">
                  <c:v>7.9431588486804854</c:v>
                </c:pt>
                <c:pt idx="23">
                  <c:v>7.8607735968033721</c:v>
                </c:pt>
                <c:pt idx="24">
                  <c:v>7.7794502231746661</c:v>
                </c:pt>
                <c:pt idx="25">
                  <c:v>7.6991808347159649</c:v>
                </c:pt>
                <c:pt idx="26">
                  <c:v>7.6199563877750611</c:v>
                </c:pt>
                <c:pt idx="27">
                  <c:v>7.5417668709830403</c:v>
                </c:pt>
                <c:pt idx="28">
                  <c:v>7.4646014638757103</c:v>
                </c:pt>
                <c:pt idx="29">
                  <c:v>7.3884486745839437</c:v>
                </c:pt>
                <c:pt idx="30">
                  <c:v>7.3132964594217613</c:v>
                </c:pt>
                <c:pt idx="31">
                  <c:v>7.2391323267964376</c:v>
                </c:pt>
                <c:pt idx="32">
                  <c:v>7.1659434275208662</c:v>
                </c:pt>
                <c:pt idx="33">
                  <c:v>7.0937166333159487</c:v>
                </c:pt>
                <c:pt idx="34">
                  <c:v>7.0224386050417236</c:v>
                </c:pt>
                <c:pt idx="35">
                  <c:v>6.9520958519837812</c:v>
                </c:pt>
                <c:pt idx="36">
                  <c:v>6.8826747833404651</c:v>
                </c:pt>
                <c:pt idx="37">
                  <c:v>6.8141617529016569</c:v>
                </c:pt>
                <c:pt idx="38">
                  <c:v>6.7465430977774936</c:v>
                </c:pt>
                <c:pt idx="39">
                  <c:v>6.6798051719218554</c:v>
                </c:pt>
                <c:pt idx="40">
                  <c:v>6.61393437509797</c:v>
                </c:pt>
                <c:pt idx="41">
                  <c:v>6.5489171778495452</c:v>
                </c:pt>
                <c:pt idx="42">
                  <c:v>6.4847401429686515</c:v>
                </c:pt>
                <c:pt idx="43">
                  <c:v>6.4213899438890421</c:v>
                </c:pt>
                <c:pt idx="44">
                  <c:v>6.358853380379772</c:v>
                </c:pt>
                <c:pt idx="45">
                  <c:v>6.2971173918671228</c:v>
                </c:pt>
                <c:pt idx="46">
                  <c:v>6.2361690686723827</c:v>
                </c:pt>
                <c:pt idx="47">
                  <c:v>6.1759956614177165</c:v>
                </c:pt>
                <c:pt idx="48">
                  <c:v>6.1165845888217563</c:v>
                </c:pt>
                <c:pt idx="49">
                  <c:v>6.0579234440797789</c:v>
                </c:pt>
                <c:pt idx="50">
                  <c:v>5.9999999999999307</c:v>
                </c:pt>
                <c:pt idx="51">
                  <c:v>5.9428054655083944</c:v>
                </c:pt>
                <c:pt idx="52">
                  <c:v>5.8863439404822557</c:v>
                </c:pt>
                <c:pt idx="53">
                  <c:v>5.8306221345896159</c:v>
                </c:pt>
                <c:pt idx="54">
                  <c:v>5.7756460593081389</c:v>
                </c:pt>
                <c:pt idx="55">
                  <c:v>5.7214210502939089</c:v>
                </c:pt>
                <c:pt idx="56">
                  <c:v>5.6679517901381189</c:v>
                </c:pt>
                <c:pt idx="57">
                  <c:v>5.6152423313684778</c:v>
                </c:pt>
                <c:pt idx="58">
                  <c:v>5.5632961195686175</c:v>
                </c:pt>
                <c:pt idx="59">
                  <c:v>5.5121160165040788</c:v>
                </c:pt>
                <c:pt idx="60">
                  <c:v>5.4617043231572158</c:v>
                </c:pt>
                <c:pt idx="61">
                  <c:v>5.412062802585762</c:v>
                </c:pt>
                <c:pt idx="62">
                  <c:v>5.3631927025313342</c:v>
                </c:pt>
                <c:pt idx="63">
                  <c:v>5.3150947777142576</c:v>
                </c:pt>
                <c:pt idx="64">
                  <c:v>5.2677693117604178</c:v>
                </c:pt>
                <c:pt idx="65">
                  <c:v>5.2212161387141638</c:v>
                </c:pt>
                <c:pt idx="66">
                  <c:v>5.1754346640987627</c:v>
                </c:pt>
                <c:pt idx="67">
                  <c:v>5.1304238854925952</c:v>
                </c:pt>
                <c:pt idx="68">
                  <c:v>5.0861824125953152</c:v>
                </c:pt>
                <c:pt idx="69">
                  <c:v>5.0427084867634715</c:v>
                </c:pt>
                <c:pt idx="70">
                  <c:v>5.0000000000017479</c:v>
                </c:pt>
                <c:pt idx="71">
                  <c:v>4.9580517671983992</c:v>
                </c:pt>
                <c:pt idx="72">
                  <c:v>4.9168475402216192</c:v>
                </c:pt>
                <c:pt idx="73">
                  <c:v>4.8763686672594577</c:v>
                </c:pt>
                <c:pt idx="74">
                  <c:v>4.8365968985738803</c:v>
                </c:pt>
                <c:pt idx="75">
                  <c:v>4.7975143855874975</c:v>
                </c:pt>
                <c:pt idx="76">
                  <c:v>4.7591036791011057</c:v>
                </c:pt>
                <c:pt idx="77">
                  <c:v>4.7213477267404729</c:v>
                </c:pt>
                <c:pt idx="78">
                  <c:v>4.6842298697221585</c:v>
                </c:pt>
                <c:pt idx="79">
                  <c:v>4.6477338390201188</c:v>
                </c:pt>
                <c:pt idx="80">
                  <c:v>4.6118437510076014</c:v>
                </c:pt>
                <c:pt idx="81">
                  <c:v>4.5765441026420355</c:v>
                </c:pt>
                <c:pt idx="82">
                  <c:v>4.541819766254477</c:v>
                </c:pt>
                <c:pt idx="83">
                  <c:v>4.5076559839994301</c:v>
                </c:pt>
                <c:pt idx="84">
                  <c:v>4.4740383620157571</c:v>
                </c:pt>
                <c:pt idx="85">
                  <c:v>4.4409528643444771</c:v>
                </c:pt>
                <c:pt idx="86">
                  <c:v>4.4083858066449952</c:v>
                </c:pt>
                <c:pt idx="87">
                  <c:v>4.3763238497472443</c:v>
                </c:pt>
                <c:pt idx="88">
                  <c:v>4.3447539930735246</c:v>
                </c:pt>
                <c:pt idx="89">
                  <c:v>4.3136635679605391</c:v>
                </c:pt>
                <c:pt idx="90">
                  <c:v>4.2830402309089788</c:v>
                </c:pt>
                <c:pt idx="91">
                  <c:v>4.2528719567852669</c:v>
                </c:pt>
                <c:pt idx="92">
                  <c:v>4.2231470319974687</c:v>
                </c:pt>
                <c:pt idx="93">
                  <c:v>4.1938540476650594</c:v>
                </c:pt>
                <c:pt idx="94">
                  <c:v>4.1649818928000872</c:v>
                </c:pt>
                <c:pt idx="95">
                  <c:v>4.1365197475153499</c:v>
                </c:pt>
                <c:pt idx="96">
                  <c:v>4.1084570762734067</c:v>
                </c:pt>
                <c:pt idx="97">
                  <c:v>4.0807836211886457</c:v>
                </c:pt>
                <c:pt idx="98">
                  <c:v>4.0534893953931492</c:v>
                </c:pt>
                <c:pt idx="99">
                  <c:v>4.0265646764757967</c:v>
                </c:pt>
                <c:pt idx="100">
                  <c:v>3.9999999999927671</c:v>
                </c:pt>
                <c:pt idx="101">
                  <c:v>3.9737864203096636</c:v>
                </c:pt>
                <c:pt idx="102">
                  <c:v>3.9479162829185559</c:v>
                </c:pt>
                <c:pt idx="103">
                  <c:v>3.9223823775355164</c:v>
                </c:pt>
                <c:pt idx="104">
                  <c:v>3.8971776610143647</c:v>
                </c:pt>
                <c:pt idx="105">
                  <c:v>3.8722952533729953</c:v>
                </c:pt>
                <c:pt idx="106">
                  <c:v>3.8477284338991695</c:v>
                </c:pt>
                <c:pt idx="107">
                  <c:v>3.8234706373359453</c:v>
                </c:pt>
                <c:pt idx="108">
                  <c:v>3.799515450146727</c:v>
                </c:pt>
                <c:pt idx="109">
                  <c:v>3.7758566068597386</c:v>
                </c:pt>
                <c:pt idx="110">
                  <c:v>3.7524879864915506</c:v>
                </c:pt>
                <c:pt idx="111">
                  <c:v>3.7294036090491467</c:v>
                </c:pt>
                <c:pt idx="112">
                  <c:v>3.7065976321098923</c:v>
                </c:pt>
                <c:pt idx="113">
                  <c:v>3.684064347478651</c:v>
                </c:pt>
                <c:pt idx="114">
                  <c:v>3.6617981779212059</c:v>
                </c:pt>
                <c:pt idx="115">
                  <c:v>3.6397936739730348</c:v>
                </c:pt>
                <c:pt idx="116">
                  <c:v>3.618045510822439</c:v>
                </c:pt>
                <c:pt idx="117">
                  <c:v>3.5965484852669682</c:v>
                </c:pt>
                <c:pt idx="118">
                  <c:v>3.5752975127419675</c:v>
                </c:pt>
                <c:pt idx="119">
                  <c:v>3.5542876244201373</c:v>
                </c:pt>
                <c:pt idx="120">
                  <c:v>3.5335139643808384</c:v>
                </c:pt>
                <c:pt idx="121">
                  <c:v>3.5129717868479373</c:v>
                </c:pt>
                <c:pt idx="122">
                  <c:v>3.4926564534949134</c:v>
                </c:pt>
                <c:pt idx="123">
                  <c:v>3.4725634308159474</c:v>
                </c:pt>
                <c:pt idx="124">
                  <c:v>3.4526882875616933</c:v>
                </c:pt>
                <c:pt idx="125">
                  <c:v>3.4330266922384194</c:v>
                </c:pt>
                <c:pt idx="126">
                  <c:v>3.413574410669225</c:v>
                </c:pt>
                <c:pt idx="127">
                  <c:v>3.3943273036160062</c:v>
                </c:pt>
                <c:pt idx="128">
                  <c:v>3.3752813244608588</c:v>
                </c:pt>
                <c:pt idx="129">
                  <c:v>3.3564325169456239</c:v>
                </c:pt>
                <c:pt idx="130">
                  <c:v>3.3377770129682665</c:v>
                </c:pt>
                <c:pt idx="131">
                  <c:v>3.319311030434803</c:v>
                </c:pt>
                <c:pt idx="132">
                  <c:v>3.3010308711655094</c:v>
                </c:pt>
                <c:pt idx="133">
                  <c:v>3.2829329188541223</c:v>
                </c:pt>
                <c:pt idx="134">
                  <c:v>3.2650136370788116</c:v>
                </c:pt>
                <c:pt idx="135">
                  <c:v>3.2472695673636793</c:v>
                </c:pt>
                <c:pt idx="136">
                  <c:v>3.2296973272895628</c:v>
                </c:pt>
                <c:pt idx="137">
                  <c:v>3.2122936086529625</c:v>
                </c:pt>
                <c:pt idx="138">
                  <c:v>3.1950551756719054</c:v>
                </c:pt>
                <c:pt idx="139">
                  <c:v>3.1779788632375863</c:v>
                </c:pt>
                <c:pt idx="140">
                  <c:v>3.1610615752106614</c:v>
                </c:pt>
                <c:pt idx="141">
                  <c:v>3.1443002827610584</c:v>
                </c:pt>
                <c:pt idx="142">
                  <c:v>3.1276920227502343</c:v>
                </c:pt>
                <c:pt idx="143">
                  <c:v>3.1112338961547863</c:v>
                </c:pt>
                <c:pt idx="144">
                  <c:v>3.0949230665303711</c:v>
                </c:pt>
                <c:pt idx="145">
                  <c:v>3.0787567585149116</c:v>
                </c:pt>
                <c:pt idx="146">
                  <c:v>3.0627322563700714</c:v>
                </c:pt>
                <c:pt idx="147">
                  <c:v>3.0468469025600209</c:v>
                </c:pt>
                <c:pt idx="148">
                  <c:v>3.0310980963665273</c:v>
                </c:pt>
                <c:pt idx="149">
                  <c:v>3.0154832925394208</c:v>
                </c:pt>
                <c:pt idx="150">
                  <c:v>2.9999999999999498</c:v>
                </c:pt>
                <c:pt idx="151">
                  <c:v>2.9846459189227454</c:v>
                </c:pt>
                <c:pt idx="152">
                  <c:v>2.9694193464750023</c:v>
                </c:pt>
                <c:pt idx="153">
                  <c:v>2.9543187457600757</c:v>
                </c:pt>
                <c:pt idx="154">
                  <c:v>2.939342604733544</c:v>
                </c:pt>
                <c:pt idx="155">
                  <c:v>2.9244894356935212</c:v>
                </c:pt>
                <c:pt idx="156">
                  <c:v>2.9097577747836794</c:v>
                </c:pt>
                <c:pt idx="157">
                  <c:v>2.8951461815086179</c:v>
                </c:pt>
                <c:pt idx="158">
                  <c:v>2.8806532382612433</c:v>
                </c:pt>
                <c:pt idx="159">
                  <c:v>2.8662775498617448</c:v>
                </c:pt>
                <c:pt idx="160">
                  <c:v>2.8520177431079023</c:v>
                </c:pt>
                <c:pt idx="161">
                  <c:v>2.8378724663363717</c:v>
                </c:pt>
                <c:pt idx="162">
                  <c:v>2.8238403889945802</c:v>
                </c:pt>
                <c:pt idx="163">
                  <c:v>2.8099202012230222</c:v>
                </c:pt>
                <c:pt idx="164">
                  <c:v>2.7961106134475942</c:v>
                </c:pt>
                <c:pt idx="165">
                  <c:v>2.7824103559816833</c:v>
                </c:pt>
                <c:pt idx="166">
                  <c:v>2.7688181786377783</c:v>
                </c:pt>
                <c:pt idx="167">
                  <c:v>2.7553328503482764</c:v>
                </c:pt>
                <c:pt idx="168">
                  <c:v>2.7419531587952957</c:v>
                </c:pt>
                <c:pt idx="169">
                  <c:v>2.7286779100491558</c:v>
                </c:pt>
                <c:pt idx="170">
                  <c:v>2.7155059282153884</c:v>
                </c:pt>
                <c:pt idx="171">
                  <c:v>2.7024360550899424</c:v>
                </c:pt>
                <c:pt idx="172">
                  <c:v>2.6894671498224358</c:v>
                </c:pt>
                <c:pt idx="173">
                  <c:v>2.6765980885871783</c:v>
                </c:pt>
                <c:pt idx="174">
                  <c:v>2.6638277642617973</c:v>
                </c:pt>
                <c:pt idx="175">
                  <c:v>2.651155086113218</c:v>
                </c:pt>
                <c:pt idx="176">
                  <c:v>2.6385789794908399</c:v>
                </c:pt>
                <c:pt idx="177">
                  <c:v>2.6260983855266735</c:v>
                </c:pt>
                <c:pt idx="178">
                  <c:v>2.6137122608422936</c:v>
                </c:pt>
                <c:pt idx="179">
                  <c:v>2.601419577262392</c:v>
                </c:pt>
                <c:pt idx="180">
                  <c:v>2.5892193215347645</c:v>
                </c:pt>
                <c:pt idx="181">
                  <c:v>2.5771104950565844</c:v>
                </c:pt>
                <c:pt idx="182">
                  <c:v>2.5650921136067559</c:v>
                </c:pt>
                <c:pt idx="183">
                  <c:v>2.5531632070842134</c:v>
                </c:pt>
                <c:pt idx="184">
                  <c:v>2.5413228192520174</c:v>
                </c:pt>
                <c:pt idx="185">
                  <c:v>2.529570007487068</c:v>
                </c:pt>
                <c:pt idx="186">
                  <c:v>2.5179038425353206</c:v>
                </c:pt>
                <c:pt idx="187">
                  <c:v>2.5063234082723409</c:v>
                </c:pt>
                <c:pt idx="188">
                  <c:v>2.4948278014690652</c:v>
                </c:pt>
                <c:pt idx="189">
                  <c:v>2.4834161315626466</c:v>
                </c:pt>
                <c:pt idx="190">
                  <c:v>2.4720875204322286</c:v>
                </c:pt>
                <c:pt idx="191">
                  <c:v>2.4608411021795669</c:v>
                </c:pt>
                <c:pt idx="192">
                  <c:v>2.4496760229143169</c:v>
                </c:pt>
                <c:pt idx="193">
                  <c:v>2.4385914405439064</c:v>
                </c:pt>
                <c:pt idx="194">
                  <c:v>2.4275865245679036</c:v>
                </c:pt>
                <c:pt idx="195">
                  <c:v>2.4166604558766891</c:v>
                </c:pt>
                <c:pt idx="196">
                  <c:v>2.4058124265544056</c:v>
                </c:pt>
                <c:pt idx="197">
                  <c:v>2.3950416396860277</c:v>
                </c:pt>
                <c:pt idx="198">
                  <c:v>2.3843473091684793</c:v>
                </c:pt>
                <c:pt idx="199">
                  <c:v>2.3737286595256775</c:v>
                </c:pt>
                <c:pt idx="200">
                  <c:v>2.3631849257274138</c:v>
                </c:pt>
                <c:pt idx="201">
                  <c:v>2.3527153530119942</c:v>
                </c:pt>
                <c:pt idx="202">
                  <c:v>2.3423191967125203</c:v>
                </c:pt>
                <c:pt idx="203">
                  <c:v>2.331995722086734</c:v>
                </c:pt>
                <c:pt idx="204">
                  <c:v>2.3217442041503564</c:v>
                </c:pt>
                <c:pt idx="205">
                  <c:v>2.3115639275138067</c:v>
                </c:pt>
                <c:pt idx="206">
                  <c:v>2.3014541862222377</c:v>
                </c:pt>
                <c:pt idx="207">
                  <c:v>2.2914142835988121</c:v>
                </c:pt>
                <c:pt idx="208">
                  <c:v>2.2814435320911342</c:v>
                </c:pt>
                <c:pt idx="209">
                  <c:v>2.2715412531207511</c:v>
                </c:pt>
                <c:pt idx="210">
                  <c:v>2.2617067769356858</c:v>
                </c:pt>
                <c:pt idx="211">
                  <c:v>2.2519394424658858</c:v>
                </c:pt>
                <c:pt idx="212">
                  <c:v>2.2422385971815655</c:v>
                </c:pt>
                <c:pt idx="213">
                  <c:v>2.2326035969543216</c:v>
                </c:pt>
                <c:pt idx="214">
                  <c:v>2.2230338059210157</c:v>
                </c:pt>
                <c:pt idx="215">
                  <c:v>2.2135285963503049</c:v>
                </c:pt>
                <c:pt idx="216">
                  <c:v>2.2040873485118069</c:v>
                </c:pt>
                <c:pt idx="217">
                  <c:v>2.1947094505477929</c:v>
                </c:pt>
                <c:pt idx="218">
                  <c:v>2.1853942983473971</c:v>
                </c:pt>
                <c:pt idx="219">
                  <c:v>2.17614129542324</c:v>
                </c:pt>
                <c:pt idx="220">
                  <c:v>2.1669498527904505</c:v>
                </c:pt>
                <c:pt idx="221">
                  <c:v>2.1578193888480008</c:v>
                </c:pt>
                <c:pt idx="222">
                  <c:v>2.1487493292623254</c:v>
                </c:pt>
                <c:pt idx="223">
                  <c:v>2.1397391068531464</c:v>
                </c:pt>
                <c:pt idx="224">
                  <c:v>2.1307881614814965</c:v>
                </c:pt>
                <c:pt idx="225">
                  <c:v>2.1218959399398356</c:v>
                </c:pt>
                <c:pt idx="226">
                  <c:v>2.1130618958442695</c:v>
                </c:pt>
                <c:pt idx="227">
                  <c:v>2.1042854895287775</c:v>
                </c:pt>
                <c:pt idx="228">
                  <c:v>2.0955661879414444</c:v>
                </c:pt>
                <c:pt idx="229">
                  <c:v>2.0869034645426221</c:v>
                </c:pt>
                <c:pt idx="230">
                  <c:v>2.0782967992049812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76-4482-AA6D-051D2C590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483376"/>
        <c:axId val="299484360"/>
      </c:scatterChart>
      <c:valAx>
        <c:axId val="29948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484360"/>
        <c:crosses val="autoZero"/>
        <c:crossBetween val="midCat"/>
      </c:valAx>
      <c:valAx>
        <c:axId val="299484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483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c''</a:t>
            </a:r>
            <a:r>
              <a:rPr lang="pt-BR" sz="1400" b="0" i="0" u="none" strike="noStrike" baseline="0">
                <a:effectLst/>
              </a:rPr>
              <a:t>(k; f, </a:t>
            </a:r>
            <a:r>
              <a:rPr lang="el-GR" sz="1400" b="0" i="0" u="none" strike="noStrike" baseline="0">
                <a:effectLst/>
              </a:rPr>
              <a:t>Σ</a:t>
            </a:r>
            <a:r>
              <a:rPr lang="pt-BR" sz="1400" b="0" i="0" u="none" strike="noStrike" baseline="0">
                <a:effectLst/>
              </a:rPr>
              <a:t>, a, b)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'Exemplo Base C2'!$V$2:$V$232</c:f>
              <c:numCache>
                <c:formatCode>General</c:formatCode>
                <c:ptCount val="2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</c:numCache>
            </c:numRef>
          </c:xVal>
          <c:yVal>
            <c:numRef>
              <c:f>'Exemplo Base C2'!$Y$2:$Y$232</c:f>
              <c:numCache>
                <c:formatCode>0.0000</c:formatCode>
                <c:ptCount val="231"/>
                <c:pt idx="0" formatCode="General">
                  <c:v>0</c:v>
                </c:pt>
                <c:pt idx="1">
                  <c:v>2.5668380582723632E-3</c:v>
                </c:pt>
                <c:pt idx="2">
                  <c:v>1.2081027116529764E-2</c:v>
                </c:pt>
                <c:pt idx="3">
                  <c:v>2.4697106180683343E-2</c:v>
                </c:pt>
                <c:pt idx="4">
                  <c:v>3.7656482133332794E-2</c:v>
                </c:pt>
                <c:pt idx="5">
                  <c:v>4.9739973554974989E-2</c:v>
                </c:pt>
                <c:pt idx="6">
                  <c:v>6.0491103598274046E-2</c:v>
                </c:pt>
                <c:pt idx="7">
                  <c:v>6.9804876466513899E-2</c:v>
                </c:pt>
                <c:pt idx="8">
                  <c:v>7.7733125455037633E-2</c:v>
                </c:pt>
                <c:pt idx="9">
                  <c:v>8.4392389500819454E-2</c:v>
                </c:pt>
                <c:pt idx="10">
                  <c:v>8.9920067283142821E-2</c:v>
                </c:pt>
                <c:pt idx="11">
                  <c:v>9.4453797960770747E-2</c:v>
                </c:pt>
                <c:pt idx="12">
                  <c:v>9.8122237789966413E-2</c:v>
                </c:pt>
                <c:pt idx="13">
                  <c:v>0.10104148041226647</c:v>
                </c:pt>
                <c:pt idx="14">
                  <c:v>0.10331425259647793</c:v>
                </c:pt>
                <c:pt idx="15">
                  <c:v>0.10503042940824493</c:v>
                </c:pt>
                <c:pt idx="16">
                  <c:v>0.10626812344235716</c:v>
                </c:pt>
                <c:pt idx="17">
                  <c:v>0.10709496820119781</c:v>
                </c:pt>
                <c:pt idx="18">
                  <c:v>0.10756940647931831</c:v>
                </c:pt>
                <c:pt idx="19">
                  <c:v>0.10774189493989521</c:v>
                </c:pt>
                <c:pt idx="20">
                  <c:v>0.1076559886979893</c:v>
                </c:pt>
                <c:pt idx="21">
                  <c:v>0.10734929688041628</c:v>
                </c:pt>
                <c:pt idx="22">
                  <c:v>0.10685431359148823</c:v>
                </c:pt>
                <c:pt idx="23">
                  <c:v>0.10619913481844384</c:v>
                </c:pt>
                <c:pt idx="24">
                  <c:v>0.10540807401105119</c:v>
                </c:pt>
                <c:pt idx="25">
                  <c:v>0.10450218925636773</c:v>
                </c:pt>
                <c:pt idx="26">
                  <c:v>0.10349973417672008</c:v>
                </c:pt>
                <c:pt idx="27">
                  <c:v>0.10241654346856689</c:v>
                </c:pt>
                <c:pt idx="28">
                  <c:v>0.10126636267104157</c:v>
                </c:pt>
                <c:pt idx="29">
                  <c:v>0.10006113045830385</c:v>
                </c:pt>
                <c:pt idx="30">
                  <c:v>9.8811220561036209E-2</c:v>
                </c:pt>
                <c:pt idx="31">
                  <c:v>9.752564936702296E-2</c:v>
                </c:pt>
                <c:pt idx="32">
                  <c:v>9.6212254332897873E-2</c:v>
                </c:pt>
                <c:pt idx="33">
                  <c:v>9.4877847551302782E-2</c:v>
                </c:pt>
                <c:pt idx="34">
                  <c:v>9.3528348147138785E-2</c:v>
                </c:pt>
                <c:pt idx="35">
                  <c:v>9.2168896608941772E-2</c:v>
                </c:pt>
                <c:pt idx="36">
                  <c:v>9.080395368248953E-2</c:v>
                </c:pt>
                <c:pt idx="37">
                  <c:v>8.9437386050462364E-2</c:v>
                </c:pt>
                <c:pt idx="38">
                  <c:v>8.8072540682690881E-2</c:v>
                </c:pt>
                <c:pt idx="39">
                  <c:v>8.6712309456127651E-2</c:v>
                </c:pt>
                <c:pt idx="40">
                  <c:v>8.5359185403520318E-2</c:v>
                </c:pt>
                <c:pt idx="41">
                  <c:v>8.4015311747518681E-2</c:v>
                </c:pt>
                <c:pt idx="42">
                  <c:v>8.2682524706446561E-2</c:v>
                </c:pt>
                <c:pt idx="43">
                  <c:v>8.1362390914045277E-2</c:v>
                </c:pt>
                <c:pt idx="44">
                  <c:v>8.0056240173829632E-2</c:v>
                </c:pt>
                <c:pt idx="45">
                  <c:v>7.8765194165688487E-2</c:v>
                </c:pt>
                <c:pt idx="46">
                  <c:v>7.7490191635003064E-2</c:v>
                </c:pt>
                <c:pt idx="47">
                  <c:v>7.6232010520348295E-2</c:v>
                </c:pt>
                <c:pt idx="48">
                  <c:v>7.4991287412691815E-2</c:v>
                </c:pt>
                <c:pt idx="49">
                  <c:v>7.3768534685175441E-2</c:v>
                </c:pt>
                <c:pt idx="50">
                  <c:v>7.2564155586593862E-2</c:v>
                </c:pt>
                <c:pt idx="51">
                  <c:v>7.3306947431279884E-2</c:v>
                </c:pt>
                <c:pt idx="52">
                  <c:v>7.3977732209915464E-2</c:v>
                </c:pt>
                <c:pt idx="53">
                  <c:v>7.4578693390858E-2</c:v>
                </c:pt>
                <c:pt idx="54">
                  <c:v>7.5112069200494194E-2</c:v>
                </c:pt>
                <c:pt idx="55">
                  <c:v>7.5580136502024498E-2</c:v>
                </c:pt>
                <c:pt idx="56">
                  <c:v>7.5985196486903731E-2</c:v>
                </c:pt>
                <c:pt idx="57">
                  <c:v>7.6329562024953751E-2</c:v>
                </c:pt>
                <c:pt idx="58">
                  <c:v>7.6615546528199921E-2</c:v>
                </c:pt>
                <c:pt idx="59">
                  <c:v>7.6845454192689025E-2</c:v>
                </c:pt>
                <c:pt idx="60">
                  <c:v>7.7021571491727281E-2</c:v>
                </c:pt>
                <c:pt idx="61">
                  <c:v>7.71461598029929E-2</c:v>
                </c:pt>
                <c:pt idx="62">
                  <c:v>7.7221449060721106E-2</c:v>
                </c:pt>
                <c:pt idx="63">
                  <c:v>7.7249632332556398E-2</c:v>
                </c:pt>
                <c:pt idx="64">
                  <c:v>7.7232861228667377E-2</c:v>
                </c:pt>
                <c:pt idx="65">
                  <c:v>7.7173242058289723E-2</c:v>
                </c:pt>
                <c:pt idx="66">
                  <c:v>7.7072832655988424E-2</c:v>
                </c:pt>
                <c:pt idx="67">
                  <c:v>7.6933639806603726E-2</c:v>
                </c:pt>
                <c:pt idx="68">
                  <c:v>7.67576172040704E-2</c:v>
                </c:pt>
                <c:pt idx="69">
                  <c:v>7.6546663885085867E-2</c:v>
                </c:pt>
                <c:pt idx="70">
                  <c:v>7.6302623083893059E-2</c:v>
                </c:pt>
                <c:pt idx="71">
                  <c:v>7.439723135726474E-2</c:v>
                </c:pt>
                <c:pt idx="72">
                  <c:v>7.2532049762066203E-2</c:v>
                </c:pt>
                <c:pt idx="73">
                  <c:v>7.0707083689068556E-2</c:v>
                </c:pt>
                <c:pt idx="74">
                  <c:v>6.8922240912985294E-2</c:v>
                </c:pt>
                <c:pt idx="75">
                  <c:v>6.7177342368839293E-2</c:v>
                </c:pt>
                <c:pt idx="76">
                  <c:v>6.5472131988514828E-2</c:v>
                </c:pt>
                <c:pt idx="77">
                  <c:v>6.3806285671681923E-2</c:v>
                </c:pt>
                <c:pt idx="78">
                  <c:v>6.2179419460045286E-2</c:v>
                </c:pt>
                <c:pt idx="79">
                  <c:v>6.0591096978910478E-2</c:v>
                </c:pt>
                <c:pt idx="80">
                  <c:v>5.9040836205379997E-2</c:v>
                </c:pt>
                <c:pt idx="81">
                  <c:v>5.7528115618089112E-2</c:v>
                </c:pt>
                <c:pt idx="82">
                  <c:v>5.6052379779263653E-2</c:v>
                </c:pt>
                <c:pt idx="83">
                  <c:v>5.4613044396018669E-2</c:v>
                </c:pt>
                <c:pt idx="84">
                  <c:v>5.3209500904211074E-2</c:v>
                </c:pt>
                <c:pt idx="85">
                  <c:v>5.1841120614799452E-2</c:v>
                </c:pt>
                <c:pt idx="86">
                  <c:v>5.0507258459539836E-2</c:v>
                </c:pt>
                <c:pt idx="87">
                  <c:v>4.9207256369941971E-2</c:v>
                </c:pt>
                <c:pt idx="88">
                  <c:v>4.7940446320719116E-2</c:v>
                </c:pt>
                <c:pt idx="89">
                  <c:v>4.6706153066469684E-2</c:v>
                </c:pt>
                <c:pt idx="90">
                  <c:v>4.5503696598019214E-2</c:v>
                </c:pt>
                <c:pt idx="91">
                  <c:v>4.4332394342717782E-2</c:v>
                </c:pt>
                <c:pt idx="92">
                  <c:v>4.3191563131013952E-2</c:v>
                </c:pt>
                <c:pt idx="93">
                  <c:v>4.2080520949806764E-2</c:v>
                </c:pt>
                <c:pt idx="94">
                  <c:v>4.0998588501396989E-2</c:v>
                </c:pt>
                <c:pt idx="95">
                  <c:v>3.9945090585309512E-2</c:v>
                </c:pt>
                <c:pt idx="96">
                  <c:v>3.8919357318833135E-2</c:v>
                </c:pt>
                <c:pt idx="97">
                  <c:v>3.7920725210808165E-2</c:v>
                </c:pt>
                <c:pt idx="98">
                  <c:v>3.6948538101983112E-2</c:v>
                </c:pt>
                <c:pt idx="99">
                  <c:v>3.6002147984148546E-2</c:v>
                </c:pt>
                <c:pt idx="100">
                  <c:v>3.5080915709422782E-2</c:v>
                </c:pt>
                <c:pt idx="101">
                  <c:v>3.4342802699633961E-2</c:v>
                </c:pt>
                <c:pt idx="102">
                  <c:v>3.36218080802946E-2</c:v>
                </c:pt>
                <c:pt idx="103">
                  <c:v>3.2917526576348222E-2</c:v>
                </c:pt>
                <c:pt idx="104">
                  <c:v>3.2229560817883002E-2</c:v>
                </c:pt>
                <c:pt idx="105">
                  <c:v>3.1557521382121805E-2</c:v>
                </c:pt>
                <c:pt idx="106">
                  <c:v>3.0901026812153447E-2</c:v>
                </c:pt>
                <c:pt idx="107">
                  <c:v>3.025970361492112E-2</c:v>
                </c:pt>
                <c:pt idx="108">
                  <c:v>2.9633186240754339E-2</c:v>
                </c:pt>
                <c:pt idx="109">
                  <c:v>2.9021117046522198E-2</c:v>
                </c:pt>
                <c:pt idx="110">
                  <c:v>2.8423146244294616E-2</c:v>
                </c:pt>
                <c:pt idx="111">
                  <c:v>2.7838931837224565E-2</c:v>
                </c:pt>
                <c:pt idx="112">
                  <c:v>2.7268139544205854E-2</c:v>
                </c:pt>
                <c:pt idx="113">
                  <c:v>2.6710442714716051E-2</c:v>
                </c:pt>
                <c:pt idx="114">
                  <c:v>2.6165522235122439E-2</c:v>
                </c:pt>
                <c:pt idx="115">
                  <c:v>2.5633066427608708E-2</c:v>
                </c:pt>
                <c:pt idx="116">
                  <c:v>2.5112770942769872E-2</c:v>
                </c:pt>
                <c:pt idx="117">
                  <c:v>2.4604338646823536E-2</c:v>
                </c:pt>
                <c:pt idx="118">
                  <c:v>2.4107479504293865E-2</c:v>
                </c:pt>
                <c:pt idx="119">
                  <c:v>2.3621910456941515E-2</c:v>
                </c:pt>
                <c:pt idx="120">
                  <c:v>2.3147355299637094E-2</c:v>
                </c:pt>
                <c:pt idx="121">
                  <c:v>2.2683544553806591E-2</c:v>
                </c:pt>
                <c:pt idx="122">
                  <c:v>2.223021533901386E-2</c:v>
                </c:pt>
                <c:pt idx="123">
                  <c:v>2.1787111243188276E-2</c:v>
                </c:pt>
                <c:pt idx="124">
                  <c:v>2.1353982191953117E-2</c:v>
                </c:pt>
                <c:pt idx="125">
                  <c:v>2.0930584317462492E-2</c:v>
                </c:pt>
                <c:pt idx="126">
                  <c:v>2.0516679827111556E-2</c:v>
                </c:pt>
                <c:pt idx="127">
                  <c:v>2.0112036872444894E-2</c:v>
                </c:pt>
                <c:pt idx="128">
                  <c:v>1.9716429418552405E-2</c:v>
                </c:pt>
                <c:pt idx="129">
                  <c:v>1.9329637114208861E-2</c:v>
                </c:pt>
                <c:pt idx="130">
                  <c:v>1.8951445162984033E-2</c:v>
                </c:pt>
                <c:pt idx="131">
                  <c:v>1.8581644195522998E-2</c:v>
                </c:pt>
                <c:pt idx="132">
                  <c:v>1.8220030143171813E-2</c:v>
                </c:pt>
                <c:pt idx="133">
                  <c:v>1.7866404113101298E-2</c:v>
                </c:pt>
                <c:pt idx="134">
                  <c:v>1.7520572265061828E-2</c:v>
                </c:pt>
                <c:pt idx="135">
                  <c:v>1.7182345689883131E-2</c:v>
                </c:pt>
                <c:pt idx="136">
                  <c:v>1.6851540289817189E-2</c:v>
                </c:pt>
                <c:pt idx="137">
                  <c:v>1.6527976660806673E-2</c:v>
                </c:pt>
                <c:pt idx="138">
                  <c:v>1.6211479976748145E-2</c:v>
                </c:pt>
                <c:pt idx="139">
                  <c:v>1.5901879875806935E-2</c:v>
                </c:pt>
                <c:pt idx="140">
                  <c:v>1.55990103488293E-2</c:v>
                </c:pt>
                <c:pt idx="141">
                  <c:v>1.5302709629887805E-2</c:v>
                </c:pt>
                <c:pt idx="142">
                  <c:v>1.5012820088986712E-2</c:v>
                </c:pt>
                <c:pt idx="143">
                  <c:v>1.4729188126946019E-2</c:v>
                </c:pt>
                <c:pt idx="144">
                  <c:v>1.4451664072475777E-2</c:v>
                </c:pt>
                <c:pt idx="145">
                  <c:v>1.4180102081445559E-2</c:v>
                </c:pt>
                <c:pt idx="146">
                  <c:v>1.3914360038348469E-2</c:v>
                </c:pt>
                <c:pt idx="147">
                  <c:v>1.3654299459953546E-2</c:v>
                </c:pt>
                <c:pt idx="148">
                  <c:v>1.3399785401136252E-2</c:v>
                </c:pt>
                <c:pt idx="149">
                  <c:v>1.3150686362872289E-2</c:v>
                </c:pt>
                <c:pt idx="150">
                  <c:v>1.2906874202068578E-2</c:v>
                </c:pt>
                <c:pt idx="151">
                  <c:v>1.2750651502593384E-2</c:v>
                </c:pt>
                <c:pt idx="152">
                  <c:v>1.259696619415672E-2</c:v>
                </c:pt>
                <c:pt idx="153">
                  <c:v>1.2445765999306869E-2</c:v>
                </c:pt>
                <c:pt idx="154">
                  <c:v>1.2296999951601564E-2</c:v>
                </c:pt>
                <c:pt idx="155">
                  <c:v>1.2150618356821125E-2</c:v>
                </c:pt>
                <c:pt idx="156">
                  <c:v>1.2006572755502593E-2</c:v>
                </c:pt>
                <c:pt idx="157">
                  <c:v>1.1864815886744109E-2</c:v>
                </c:pt>
                <c:pt idx="158">
                  <c:v>1.172530165323089E-2</c:v>
                </c:pt>
                <c:pt idx="159">
                  <c:v>1.1587985087436258E-2</c:v>
                </c:pt>
                <c:pt idx="160">
                  <c:v>1.1452822318953228E-2</c:v>
                </c:pt>
                <c:pt idx="161">
                  <c:v>1.1319770542913865E-2</c:v>
                </c:pt>
                <c:pt idx="162">
                  <c:v>1.1188787989455592E-2</c:v>
                </c:pt>
                <c:pt idx="163">
                  <c:v>1.1059833894195202E-2</c:v>
                </c:pt>
                <c:pt idx="164">
                  <c:v>1.0932868469673007E-2</c:v>
                </c:pt>
                <c:pt idx="165">
                  <c:v>1.0807852877731158E-2</c:v>
                </c:pt>
                <c:pt idx="166">
                  <c:v>1.0684749202791598E-2</c:v>
                </c:pt>
                <c:pt idx="167">
                  <c:v>1.0563520426000502E-2</c:v>
                </c:pt>
                <c:pt idx="168">
                  <c:v>1.0444130400207486E-2</c:v>
                </c:pt>
                <c:pt idx="169">
                  <c:v>1.0326543825749155E-2</c:v>
                </c:pt>
                <c:pt idx="170">
                  <c:v>1.0210726227007701E-2</c:v>
                </c:pt>
                <c:pt idx="171">
                  <c:v>1.0096643929716613E-2</c:v>
                </c:pt>
                <c:pt idx="172">
                  <c:v>9.9842640389864248E-3</c:v>
                </c:pt>
                <c:pt idx="173">
                  <c:v>9.873554418024847E-3</c:v>
                </c:pt>
                <c:pt idx="174">
                  <c:v>9.7644836675263753E-3</c:v>
                </c:pt>
                <c:pt idx="175">
                  <c:v>9.6570211057075504E-3</c:v>
                </c:pt>
                <c:pt idx="176">
                  <c:v>9.5511367489650844E-3</c:v>
                </c:pt>
                <c:pt idx="177">
                  <c:v>9.4468012931347833E-3</c:v>
                </c:pt>
                <c:pt idx="178">
                  <c:v>9.3439860953301954E-3</c:v>
                </c:pt>
                <c:pt idx="179">
                  <c:v>9.2426631563407614E-3</c:v>
                </c:pt>
                <c:pt idx="180">
                  <c:v>9.1428051035698493E-3</c:v>
                </c:pt>
                <c:pt idx="181">
                  <c:v>9.0443851744940688E-3</c:v>
                </c:pt>
                <c:pt idx="182">
                  <c:v>8.9473772006257411E-3</c:v>
                </c:pt>
                <c:pt idx="183">
                  <c:v>8.851755591961304E-3</c:v>
                </c:pt>
                <c:pt idx="184">
                  <c:v>8.757495321898923E-3</c:v>
                </c:pt>
                <c:pt idx="185">
                  <c:v>8.6645719126093191E-3</c:v>
                </c:pt>
                <c:pt idx="186">
                  <c:v>8.5729614208444275E-3</c:v>
                </c:pt>
                <c:pt idx="187">
                  <c:v>8.4826404241690086E-3</c:v>
                </c:pt>
                <c:pt idx="188">
                  <c:v>8.3935860076009769E-3</c:v>
                </c:pt>
                <c:pt idx="189">
                  <c:v>8.3057757506467527E-3</c:v>
                </c:pt>
                <c:pt idx="190">
                  <c:v>8.2191877147183203E-3</c:v>
                </c:pt>
                <c:pt idx="191">
                  <c:v>8.1338004309194044E-3</c:v>
                </c:pt>
                <c:pt idx="192">
                  <c:v>8.0495928881883887E-3</c:v>
                </c:pt>
                <c:pt idx="193">
                  <c:v>7.966544521786259E-3</c:v>
                </c:pt>
                <c:pt idx="194">
                  <c:v>7.8846352021181964E-3</c:v>
                </c:pt>
                <c:pt idx="195">
                  <c:v>7.8038452238778314E-3</c:v>
                </c:pt>
                <c:pt idx="196">
                  <c:v>7.7241552955036909E-3</c:v>
                </c:pt>
                <c:pt idx="197">
                  <c:v>7.6455465289376025E-3</c:v>
                </c:pt>
                <c:pt idx="198">
                  <c:v>7.5680004296753067E-3</c:v>
                </c:pt>
                <c:pt idx="199">
                  <c:v>7.491498887099852E-3</c:v>
                </c:pt>
                <c:pt idx="200">
                  <c:v>7.4160241650886166E-3</c:v>
                </c:pt>
                <c:pt idx="201">
                  <c:v>7.3415588928852638E-3</c:v>
                </c:pt>
                <c:pt idx="202">
                  <c:v>7.268086056228109E-3</c:v>
                </c:pt>
                <c:pt idx="203">
                  <c:v>7.1955889887267829E-3</c:v>
                </c:pt>
                <c:pt idx="204">
                  <c:v>7.1240513634792998E-3</c:v>
                </c:pt>
                <c:pt idx="205">
                  <c:v>7.0534571849219466E-3</c:v>
                </c:pt>
                <c:pt idx="206">
                  <c:v>6.9837907809047108E-3</c:v>
                </c:pt>
                <c:pt idx="207">
                  <c:v>6.9150367949851075E-3</c:v>
                </c:pt>
                <c:pt idx="208">
                  <c:v>6.8471801789336479E-3</c:v>
                </c:pt>
                <c:pt idx="209">
                  <c:v>6.7802061854443643E-3</c:v>
                </c:pt>
                <c:pt idx="210">
                  <c:v>6.7141003610439983E-3</c:v>
                </c:pt>
                <c:pt idx="211">
                  <c:v>6.6488485391937848E-3</c:v>
                </c:pt>
                <c:pt idx="212">
                  <c:v>6.584436833577836E-3</c:v>
                </c:pt>
                <c:pt idx="213">
                  <c:v>6.5208516315724803E-3</c:v>
                </c:pt>
                <c:pt idx="214">
                  <c:v>6.4580795878909757E-3</c:v>
                </c:pt>
                <c:pt idx="215">
                  <c:v>6.3961076183983029E-3</c:v>
                </c:pt>
                <c:pt idx="216">
                  <c:v>6.3349228940908714E-3</c:v>
                </c:pt>
                <c:pt idx="217">
                  <c:v>6.2745128352361384E-3</c:v>
                </c:pt>
                <c:pt idx="218">
                  <c:v>6.2148651056673776E-3</c:v>
                </c:pt>
                <c:pt idx="219">
                  <c:v>6.1559676072289061E-3</c:v>
                </c:pt>
                <c:pt idx="220">
                  <c:v>6.0978084743672778E-3</c:v>
                </c:pt>
                <c:pt idx="221">
                  <c:v>6.0403760688641462E-3</c:v>
                </c:pt>
                <c:pt idx="222">
                  <c:v>5.9836589747065249E-3</c:v>
                </c:pt>
                <c:pt idx="223">
                  <c:v>5.927645993090442E-3</c:v>
                </c:pt>
                <c:pt idx="224">
                  <c:v>5.8723261375540443E-3</c:v>
                </c:pt>
                <c:pt idx="225">
                  <c:v>5.8176886292363389E-3</c:v>
                </c:pt>
                <c:pt idx="226">
                  <c:v>5.7637228922579201E-3</c:v>
                </c:pt>
                <c:pt idx="227">
                  <c:v>5.7104185492201217E-3</c:v>
                </c:pt>
                <c:pt idx="228">
                  <c:v>5.6577654168191334E-3</c:v>
                </c:pt>
                <c:pt idx="229">
                  <c:v>5.6057535015718177E-3</c:v>
                </c:pt>
                <c:pt idx="230">
                  <c:v>5.5543729956499125E-3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52B-B9D0-0AD879C50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483376"/>
        <c:axId val="299484360"/>
      </c:scatterChart>
      <c:valAx>
        <c:axId val="29948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484360"/>
        <c:crosses val="autoZero"/>
        <c:crossBetween val="midCat"/>
      </c:valAx>
      <c:valAx>
        <c:axId val="299484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483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c'</a:t>
            </a:r>
            <a:r>
              <a:rPr lang="pt-BR" sz="1400" b="0" i="0" u="none" strike="noStrike" baseline="0">
                <a:effectLst/>
              </a:rPr>
              <a:t>(k; f, </a:t>
            </a:r>
            <a:r>
              <a:rPr lang="el-GR" sz="1400" b="0" i="0" u="none" strike="noStrike" baseline="0">
                <a:effectLst/>
              </a:rPr>
              <a:t>Σ</a:t>
            </a:r>
            <a:r>
              <a:rPr lang="pt-BR" sz="1400" b="0" i="0" u="none" strike="noStrike" baseline="0">
                <a:effectLst/>
              </a:rPr>
              <a:t>, a, b)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'Exemplo Base C2'!$V$2:$V$232</c:f>
              <c:numCache>
                <c:formatCode>General</c:formatCode>
                <c:ptCount val="2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</c:numCache>
            </c:numRef>
          </c:xVal>
          <c:yVal>
            <c:numRef>
              <c:f>'Exemplo Base C2'!$X$2:$X$232</c:f>
              <c:numCache>
                <c:formatCode>0.0000</c:formatCode>
                <c:ptCount val="231"/>
                <c:pt idx="0" formatCode="General">
                  <c:v>-1</c:v>
                </c:pt>
                <c:pt idx="1">
                  <c:v>-0.99993153700064585</c:v>
                </c:pt>
                <c:pt idx="2">
                  <c:v>-0.99924228323730946</c:v>
                </c:pt>
                <c:pt idx="3">
                  <c:v>-0.99741461745791105</c:v>
                </c:pt>
                <c:pt idx="4">
                  <c:v>-0.99429309197420146</c:v>
                </c:pt>
                <c:pt idx="5">
                  <c:v>-0.98991331093701573</c:v>
                </c:pt>
                <c:pt idx="6">
                  <c:v>-0.98438987321655957</c:v>
                </c:pt>
                <c:pt idx="7">
                  <c:v>-0.97786316398541928</c:v>
                </c:pt>
                <c:pt idx="8">
                  <c:v>-0.97047514809447433</c:v>
                </c:pt>
                <c:pt idx="9">
                  <c:v>-0.96235885873768001</c:v>
                </c:pt>
                <c:pt idx="10">
                  <c:v>-0.95363438860733851</c:v>
                </c:pt>
                <c:pt idx="11">
                  <c:v>-0.94440796617685596</c:v>
                </c:pt>
                <c:pt idx="12">
                  <c:v>-0.93477245774412066</c:v>
                </c:pt>
                <c:pt idx="13">
                  <c:v>-0.9248084768457755</c:v>
                </c:pt>
                <c:pt idx="14">
                  <c:v>-0.91458569632753572</c:v>
                </c:pt>
                <c:pt idx="15">
                  <c:v>-0.90416416641406805</c:v>
                </c:pt>
                <c:pt idx="16">
                  <c:v>-0.89359554822960718</c:v>
                </c:pt>
                <c:pt idx="17">
                  <c:v>-0.88292422650162239</c:v>
                </c:pt>
                <c:pt idx="18">
                  <c:v>-0.87218829261496356</c:v>
                </c:pt>
                <c:pt idx="19">
                  <c:v>-0.86142040254860897</c:v>
                </c:pt>
                <c:pt idx="20">
                  <c:v>-0.85064852019367354</c:v>
                </c:pt>
                <c:pt idx="21">
                  <c:v>-0.83989655865996737</c:v>
                </c:pt>
                <c:pt idx="22">
                  <c:v>-0.8291849323265752</c:v>
                </c:pt>
                <c:pt idx="23">
                  <c:v>-0.81853103159999674</c:v>
                </c:pt>
                <c:pt idx="24">
                  <c:v>-0.80794963115702578</c:v>
                </c:pt>
                <c:pt idx="25">
                  <c:v>-0.79745324115524219</c:v>
                </c:pt>
                <c:pt idx="26">
                  <c:v>-0.78705240963623946</c:v>
                </c:pt>
                <c:pt idx="27">
                  <c:v>-0.77675598319248484</c:v>
                </c:pt>
                <c:pt idx="28">
                  <c:v>-0.76657133194319604</c:v>
                </c:pt>
                <c:pt idx="29">
                  <c:v>-0.7565045439711453</c:v>
                </c:pt>
                <c:pt idx="30">
                  <c:v>-0.74656059360337257</c:v>
                </c:pt>
                <c:pt idx="31">
                  <c:v>-0.73674348726217898</c:v>
                </c:pt>
                <c:pt idx="32">
                  <c:v>-0.72705639005480061</c:v>
                </c:pt>
                <c:pt idx="33">
                  <c:v>-0.7175017357973752</c:v>
                </c:pt>
                <c:pt idx="34">
                  <c:v>-0.70808132276884139</c:v>
                </c:pt>
                <c:pt idx="35">
                  <c:v>-0.69879639715221975</c:v>
                </c:pt>
                <c:pt idx="36">
                  <c:v>-0.68964772583475087</c:v>
                </c:pt>
                <c:pt idx="37">
                  <c:v>-0.68063565999639786</c:v>
                </c:pt>
                <c:pt idx="38">
                  <c:v>-0.67176019071129445</c:v>
                </c:pt>
                <c:pt idx="39">
                  <c:v>-0.66302099761294353</c:v>
                </c:pt>
                <c:pt idx="40">
                  <c:v>-0.65441749152641338</c:v>
                </c:pt>
                <c:pt idx="41">
                  <c:v>-0.64594885184527984</c:v>
                </c:pt>
                <c:pt idx="42">
                  <c:v>-0.63761405932415527</c:v>
                </c:pt>
                <c:pt idx="43">
                  <c:v>-0.62941192486642383</c:v>
                </c:pt>
                <c:pt idx="44">
                  <c:v>-0.62134111480882193</c:v>
                </c:pt>
                <c:pt idx="45">
                  <c:v>-0.61340017313773187</c:v>
                </c:pt>
                <c:pt idx="46">
                  <c:v>-0.60558754101478018</c:v>
                </c:pt>
                <c:pt idx="47">
                  <c:v>-0.59790157394011789</c:v>
                </c:pt>
                <c:pt idx="48">
                  <c:v>-0.59034055683939268</c:v>
                </c:pt>
                <c:pt idx="49">
                  <c:v>-0.58290271732389409</c:v>
                </c:pt>
                <c:pt idx="50">
                  <c:v>-0.57558623734180614</c:v>
                </c:pt>
                <c:pt idx="51">
                  <c:v>-0.56829207321174113</c:v>
                </c:pt>
                <c:pt idx="52">
                  <c:v>-0.56092724817175088</c:v>
                </c:pt>
                <c:pt idx="53">
                  <c:v>-0.55349885428359569</c:v>
                </c:pt>
                <c:pt idx="54">
                  <c:v>-0.54601376238197963</c:v>
                </c:pt>
                <c:pt idx="55">
                  <c:v>-0.53847861742057912</c:v>
                </c:pt>
                <c:pt idx="56">
                  <c:v>-0.53089983533823903</c:v>
                </c:pt>
                <c:pt idx="57">
                  <c:v>-0.52328360127184625</c:v>
                </c:pt>
                <c:pt idx="58">
                  <c:v>-0.51563586895733637</c:v>
                </c:pt>
                <c:pt idx="59">
                  <c:v>-0.50796236117432314</c:v>
                </c:pt>
                <c:pt idx="60">
                  <c:v>-0.50026857110296086</c:v>
                </c:pt>
                <c:pt idx="61">
                  <c:v>-0.49255976447384425</c:v>
                </c:pt>
                <c:pt idx="62">
                  <c:v>-0.48484098240307399</c:v>
                </c:pt>
                <c:pt idx="63">
                  <c:v>-0.47711704481506717</c:v>
                </c:pt>
                <c:pt idx="64">
                  <c:v>-0.46939255436533073</c:v>
                </c:pt>
                <c:pt idx="65">
                  <c:v>-0.46167190078427683</c:v>
                </c:pt>
                <c:pt idx="66">
                  <c:v>-0.4539592655712778</c:v>
                </c:pt>
                <c:pt idx="67">
                  <c:v>-0.4462586269755961</c:v>
                </c:pt>
                <c:pt idx="68">
                  <c:v>-0.43857376520760954</c:v>
                </c:pt>
                <c:pt idx="69">
                  <c:v>-0.43090826782994512</c:v>
                </c:pt>
                <c:pt idx="70">
                  <c:v>-0.42326553528328675</c:v>
                </c:pt>
                <c:pt idx="71">
                  <c:v>-0.41573087734396175</c:v>
                </c:pt>
                <c:pt idx="72">
                  <c:v>-0.40838474855269674</c:v>
                </c:pt>
                <c:pt idx="73">
                  <c:v>-0.40122312676581429</c:v>
                </c:pt>
                <c:pt idx="74">
                  <c:v>-0.39424199427528822</c:v>
                </c:pt>
                <c:pt idx="75">
                  <c:v>-0.38743734702337485</c:v>
                </c:pt>
                <c:pt idx="76">
                  <c:v>-0.38080520278724017</c:v>
                </c:pt>
                <c:pt idx="77">
                  <c:v>-0.37434160842380998</c:v>
                </c:pt>
                <c:pt idx="78">
                  <c:v>-0.3680426462579125</c:v>
                </c:pt>
                <c:pt idx="79">
                  <c:v>-0.36190443969014574</c:v>
                </c:pt>
                <c:pt idx="80">
                  <c:v>-0.35592315809473141</c:v>
                </c:pt>
                <c:pt idx="81">
                  <c:v>-0.35009502107191243</c:v>
                </c:pt>
                <c:pt idx="82">
                  <c:v>-0.34441630211416663</c:v>
                </c:pt>
                <c:pt idx="83">
                  <c:v>-0.33888333174062996</c:v>
                </c:pt>
                <c:pt idx="84">
                  <c:v>-0.33349250014960691</c:v>
                </c:pt>
                <c:pt idx="85">
                  <c:v>-0.3282402594348906</c:v>
                </c:pt>
                <c:pt idx="86">
                  <c:v>-0.32312312540777488</c:v>
                </c:pt>
                <c:pt idx="87">
                  <c:v>-0.31813767906310469</c:v>
                </c:pt>
                <c:pt idx="88">
                  <c:v>-0.31328056772445528</c:v>
                </c:pt>
                <c:pt idx="89">
                  <c:v>-0.30854850590053573</c:v>
                </c:pt>
                <c:pt idx="90">
                  <c:v>-0.30393827588215067</c:v>
                </c:pt>
                <c:pt idx="91">
                  <c:v>-0.29944672810652528</c:v>
                </c:pt>
                <c:pt idx="92">
                  <c:v>-0.29507078131346454</c:v>
                </c:pt>
                <c:pt idx="93">
                  <c:v>-0.2908074225156797</c:v>
                </c:pt>
                <c:pt idx="94">
                  <c:v>-0.28665370680365032</c:v>
                </c:pt>
                <c:pt idx="95">
                  <c:v>-0.28260675700358434</c:v>
                </c:pt>
                <c:pt idx="96">
                  <c:v>-0.27866376320538738</c:v>
                </c:pt>
                <c:pt idx="97">
                  <c:v>-0.27482198217603188</c:v>
                </c:pt>
                <c:pt idx="98">
                  <c:v>-0.27107873667232363</c:v>
                </c:pt>
                <c:pt idx="99">
                  <c:v>-0.2674314146657934</c:v>
                </c:pt>
                <c:pt idx="100">
                  <c:v>-0.26387746849430671</c:v>
                </c:pt>
                <c:pt idx="101">
                  <c:v>-0.26040642693649951</c:v>
                </c:pt>
                <c:pt idx="102">
                  <c:v>-0.25700833735007672</c:v>
                </c:pt>
                <c:pt idx="103">
                  <c:v>-0.25368150822538099</c:v>
                </c:pt>
                <c:pt idx="104">
                  <c:v>-0.25042428818545748</c:v>
                </c:pt>
                <c:pt idx="105">
                  <c:v>-0.24723506519323463</c:v>
                </c:pt>
                <c:pt idx="106">
                  <c:v>-0.24411226575569128</c:v>
                </c:pt>
                <c:pt idx="107">
                  <c:v>-0.2410543541272076</c:v>
                </c:pt>
                <c:pt idx="108">
                  <c:v>-0.23805983151405841</c:v>
                </c:pt>
                <c:pt idx="109">
                  <c:v>-0.23512723528178853</c:v>
                </c:pt>
                <c:pt idx="110">
                  <c:v>-0.23225513816701204</c:v>
                </c:pt>
                <c:pt idx="111">
                  <c:v>-0.2294421474949988</c:v>
                </c:pt>
                <c:pt idx="112">
                  <c:v>-0.22668690440424505</c:v>
                </c:pt>
                <c:pt idx="113">
                  <c:v>-0.22398808307908191</c:v>
                </c:pt>
                <c:pt idx="114">
                  <c:v>-0.22134438999123479</c:v>
                </c:pt>
                <c:pt idx="115">
                  <c:v>-0.21875456315113145</c:v>
                </c:pt>
                <c:pt idx="116">
                  <c:v>-0.21621737136964192</c:v>
                </c:pt>
                <c:pt idx="117">
                  <c:v>-0.21373161353083525</c:v>
                </c:pt>
                <c:pt idx="118">
                  <c:v>-0.21129611787624947</c:v>
                </c:pt>
                <c:pt idx="119">
                  <c:v>-0.20890974130108553</c:v>
                </c:pt>
                <c:pt idx="120">
                  <c:v>-0.20657136866266712</c:v>
                </c:pt>
                <c:pt idx="121">
                  <c:v>-0.20427991210144036</c:v>
                </c:pt>
                <c:pt idx="122">
                  <c:v>-0.20203431037472513</c:v>
                </c:pt>
                <c:pt idx="123">
                  <c:v>-0.19983352820338068</c:v>
                </c:pt>
                <c:pt idx="124">
                  <c:v>-0.19767655563149727</c:v>
                </c:pt>
                <c:pt idx="125">
                  <c:v>-0.1955624073991821</c:v>
                </c:pt>
                <c:pt idx="126">
                  <c:v>-0.19349012232847135</c:v>
                </c:pt>
                <c:pt idx="127">
                  <c:v>-0.19145876272236306</c:v>
                </c:pt>
                <c:pt idx="128">
                  <c:v>-0.18946741377693826</c:v>
                </c:pt>
                <c:pt idx="129">
                  <c:v>-0.18751518300650616</c:v>
                </c:pt>
                <c:pt idx="130">
                  <c:v>-0.18560119968168914</c:v>
                </c:pt>
                <c:pt idx="131">
                  <c:v>-0.18372461428034001</c:v>
                </c:pt>
                <c:pt idx="132">
                  <c:v>-0.18188459795116491</c:v>
                </c:pt>
                <c:pt idx="133">
                  <c:v>-0.18008034198990996</c:v>
                </c:pt>
                <c:pt idx="134">
                  <c:v>-0.17831105732795566</c:v>
                </c:pt>
                <c:pt idx="135">
                  <c:v>-0.17657597403314806</c:v>
                </c:pt>
                <c:pt idx="136">
                  <c:v>-0.17487434082269018</c:v>
                </c:pt>
                <c:pt idx="137">
                  <c:v>-0.17320542458790245</c:v>
                </c:pt>
                <c:pt idx="138">
                  <c:v>-0.17156850993065714</c:v>
                </c:pt>
                <c:pt idx="139">
                  <c:v>-0.16996289871128489</c:v>
                </c:pt>
                <c:pt idx="140">
                  <c:v>-0.16838790960774475</c:v>
                </c:pt>
                <c:pt idx="141">
                  <c:v>-0.16684287768584644</c:v>
                </c:pt>
                <c:pt idx="142">
                  <c:v>-0.16532715398031089</c:v>
                </c:pt>
                <c:pt idx="143">
                  <c:v>-0.16384010508645108</c:v>
                </c:pt>
                <c:pt idx="144">
                  <c:v>-0.16238111276225481</c:v>
                </c:pt>
                <c:pt idx="145">
                  <c:v>-0.16094957354065054</c:v>
                </c:pt>
                <c:pt idx="146">
                  <c:v>-0.1595448983517368</c:v>
                </c:pt>
                <c:pt idx="147">
                  <c:v>-0.15816651215475508</c:v>
                </c:pt>
                <c:pt idx="148">
                  <c:v>-0.15681385357958882</c:v>
                </c:pt>
                <c:pt idx="149">
                  <c:v>-0.15548637457757158</c:v>
                </c:pt>
                <c:pt idx="150">
                  <c:v>-0.15418354007990068</c:v>
                </c:pt>
                <c:pt idx="151">
                  <c:v>-0.1529006851609499</c:v>
                </c:pt>
                <c:pt idx="152">
                  <c:v>-0.15163332520118189</c:v>
                </c:pt>
                <c:pt idx="153">
                  <c:v>-0.15038120908645553</c:v>
                </c:pt>
                <c:pt idx="154">
                  <c:v>-0.1491440908644957</c:v>
                </c:pt>
                <c:pt idx="155">
                  <c:v>-0.14792172961574279</c:v>
                </c:pt>
                <c:pt idx="156">
                  <c:v>-0.1467138893280143</c:v>
                </c:pt>
                <c:pt idx="157">
                  <c:v>-0.14552033877484968</c:v>
                </c:pt>
                <c:pt idx="158">
                  <c:v>-0.14434085139741248</c:v>
                </c:pt>
                <c:pt idx="159">
                  <c:v>-0.14317520518983171</c:v>
                </c:pt>
                <c:pt idx="160">
                  <c:v>-0.14202318258786539</c:v>
                </c:pt>
                <c:pt idx="161">
                  <c:v>-0.14088457036077617</c:v>
                </c:pt>
                <c:pt idx="162">
                  <c:v>-0.1397591595063136</c:v>
                </c:pt>
                <c:pt idx="163">
                  <c:v>-0.13864674514869715</c:v>
                </c:pt>
                <c:pt idx="164">
                  <c:v>-0.13754712643950467</c:v>
                </c:pt>
                <c:pt idx="165">
                  <c:v>-0.13646010646136819</c:v>
                </c:pt>
                <c:pt idx="166">
                  <c:v>-0.1353854921343878</c:v>
                </c:pt>
                <c:pt idx="167">
                  <c:v>-0.13432309412517335</c:v>
                </c:pt>
                <c:pt idx="168">
                  <c:v>-0.13327272675842941</c:v>
                </c:pt>
                <c:pt idx="169">
                  <c:v>-0.13223420793100296</c:v>
                </c:pt>
                <c:pt idx="170">
                  <c:v>-0.1312073590283126</c:v>
                </c:pt>
                <c:pt idx="171">
                  <c:v>-0.13019200484308555</c:v>
                </c:pt>
                <c:pt idx="172">
                  <c:v>-0.12918797349632616</c:v>
                </c:pt>
                <c:pt idx="173">
                  <c:v>-0.12819509636044862</c:v>
                </c:pt>
                <c:pt idx="174">
                  <c:v>-0.12721320798450295</c:v>
                </c:pt>
                <c:pt idx="175">
                  <c:v>-0.12624214602142975</c:v>
                </c:pt>
                <c:pt idx="176">
                  <c:v>-0.12528175115728041</c:v>
                </c:pt>
                <c:pt idx="177">
                  <c:v>-0.12433186704234105</c:v>
                </c:pt>
                <c:pt idx="178">
                  <c:v>-0.12339234022410109</c:v>
                </c:pt>
                <c:pt idx="179">
                  <c:v>-0.12246302008201063</c:v>
                </c:pt>
                <c:pt idx="180">
                  <c:v>-0.1215437587639701</c:v>
                </c:pt>
                <c:pt idx="181">
                  <c:v>-0.12063441112450013</c:v>
                </c:pt>
                <c:pt idx="182">
                  <c:v>-0.11973483466454041</c:v>
                </c:pt>
                <c:pt idx="183">
                  <c:v>-0.11884488947282748</c:v>
                </c:pt>
                <c:pt idx="184">
                  <c:v>-0.11796443816880446</c:v>
                </c:pt>
                <c:pt idx="185">
                  <c:v>-0.11709334584701585</c:v>
                </c:pt>
                <c:pt idx="186">
                  <c:v>-0.11623148002294369</c:v>
                </c:pt>
                <c:pt idx="187">
                  <c:v>-0.1153787105802411</c:v>
                </c:pt>
                <c:pt idx="188">
                  <c:v>-0.11453490971932237</c:v>
                </c:pt>
                <c:pt idx="189">
                  <c:v>-0.11369995190726921</c:v>
                </c:pt>
                <c:pt idx="190">
                  <c:v>-0.11287371382901401</c:v>
                </c:pt>
                <c:pt idx="191">
                  <c:v>-0.11205607433976325</c:v>
                </c:pt>
                <c:pt idx="192">
                  <c:v>-0.11124691441862374</c:v>
                </c:pt>
                <c:pt idx="193">
                  <c:v>-0.11044611712339798</c:v>
                </c:pt>
                <c:pt idx="194">
                  <c:v>-0.10965356754651343</c:v>
                </c:pt>
                <c:pt idx="195">
                  <c:v>-0.10886915277205313</c:v>
                </c:pt>
                <c:pt idx="196">
                  <c:v>-0.10809276183385724</c:v>
                </c:pt>
                <c:pt idx="197">
                  <c:v>-0.10732428567466271</c:v>
                </c:pt>
                <c:pt idx="198">
                  <c:v>-0.10656361710625274</c:v>
                </c:pt>
                <c:pt idx="199">
                  <c:v>-0.10581065077058749</c:v>
                </c:pt>
                <c:pt idx="200">
                  <c:v>-0.10506528310188659</c:v>
                </c:pt>
                <c:pt idx="201">
                  <c:v>-0.10432741228963892</c:v>
                </c:pt>
                <c:pt idx="202">
                  <c:v>-0.10359693824251115</c:v>
                </c:pt>
                <c:pt idx="203">
                  <c:v>-0.10287376255313191</c:v>
                </c:pt>
                <c:pt idx="204">
                  <c:v>-0.10215778846372546</c:v>
                </c:pt>
                <c:pt idx="205">
                  <c:v>-0.10144892083257236</c:v>
                </c:pt>
                <c:pt idx="206">
                  <c:v>-0.10074706610127381</c:v>
                </c:pt>
                <c:pt idx="207">
                  <c:v>-0.10005213226279731</c:v>
                </c:pt>
                <c:pt idx="208">
                  <c:v>-9.9364028830282211E-2</c:v>
                </c:pt>
                <c:pt idx="209">
                  <c:v>-9.8682666806584954E-2</c:v>
                </c:pt>
                <c:pt idx="210">
                  <c:v>-9.8007958654542496E-2</c:v>
                </c:pt>
                <c:pt idx="211">
                  <c:v>-9.7339818267935821E-2</c:v>
                </c:pt>
                <c:pt idx="212">
                  <c:v>-9.6678160943133334E-2</c:v>
                </c:pt>
                <c:pt idx="213">
                  <c:v>-9.6022903351396904E-2</c:v>
                </c:pt>
                <c:pt idx="214">
                  <c:v>-9.5373963511831528E-2</c:v>
                </c:pt>
                <c:pt idx="215">
                  <c:v>-9.4731260764962535E-2</c:v>
                </c:pt>
                <c:pt idx="216">
                  <c:v>-9.4094715746922672E-2</c:v>
                </c:pt>
                <c:pt idx="217">
                  <c:v>-9.3464250364233226E-2</c:v>
                </c:pt>
                <c:pt idx="218">
                  <c:v>-9.2839787769163629E-2</c:v>
                </c:pt>
                <c:pt idx="219">
                  <c:v>-9.2221252335653855E-2</c:v>
                </c:pt>
                <c:pt idx="220">
                  <c:v>-9.1608569635784551E-2</c:v>
                </c:pt>
                <c:pt idx="221">
                  <c:v>-9.1001666416781965E-2</c:v>
                </c:pt>
                <c:pt idx="222">
                  <c:v>-9.0400470578541531E-2</c:v>
                </c:pt>
                <c:pt idx="223">
                  <c:v>-8.980491115165852E-2</c:v>
                </c:pt>
                <c:pt idx="224">
                  <c:v>-8.9214918275951433E-2</c:v>
                </c:pt>
                <c:pt idx="225">
                  <c:v>-8.8630423179465928E-2</c:v>
                </c:pt>
                <c:pt idx="226">
                  <c:v>-8.805135815794668E-2</c:v>
                </c:pt>
                <c:pt idx="227">
                  <c:v>-8.7477656554765304E-2</c:v>
                </c:pt>
                <c:pt idx="228">
                  <c:v>-8.6909252741292339E-2</c:v>
                </c:pt>
                <c:pt idx="229">
                  <c:v>-8.6346082097702656E-2</c:v>
                </c:pt>
                <c:pt idx="230">
                  <c:v>-8.5788080994202237E-2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F2-4574-802F-7B729A9C7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483376"/>
        <c:axId val="299484360"/>
      </c:scatterChart>
      <c:valAx>
        <c:axId val="29948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484360"/>
        <c:crosses val="autoZero"/>
        <c:crossBetween val="midCat"/>
      </c:valAx>
      <c:valAx>
        <c:axId val="299484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483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17</xdr:col>
      <xdr:colOff>0</xdr:colOff>
      <xdr:row>16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16</xdr:row>
      <xdr:rowOff>0</xdr:rowOff>
    </xdr:from>
    <xdr:to>
      <xdr:col>17</xdr:col>
      <xdr:colOff>0</xdr:colOff>
      <xdr:row>32</xdr:row>
      <xdr:rowOff>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32</xdr:row>
      <xdr:rowOff>0</xdr:rowOff>
    </xdr:from>
    <xdr:to>
      <xdr:col>17</xdr:col>
      <xdr:colOff>0</xdr:colOff>
      <xdr:row>48</xdr:row>
      <xdr:rowOff>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17</xdr:col>
      <xdr:colOff>0</xdr:colOff>
      <xdr:row>16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16</xdr:row>
      <xdr:rowOff>0</xdr:rowOff>
    </xdr:from>
    <xdr:to>
      <xdr:col>17</xdr:col>
      <xdr:colOff>0</xdr:colOff>
      <xdr:row>32</xdr:row>
      <xdr:rowOff>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32</xdr:row>
      <xdr:rowOff>0</xdr:rowOff>
    </xdr:from>
    <xdr:to>
      <xdr:col>17</xdr:col>
      <xdr:colOff>0</xdr:colOff>
      <xdr:row>48</xdr:row>
      <xdr:rowOff>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17</xdr:col>
      <xdr:colOff>0</xdr:colOff>
      <xdr:row>16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32</xdr:row>
      <xdr:rowOff>0</xdr:rowOff>
    </xdr:from>
    <xdr:to>
      <xdr:col>17</xdr:col>
      <xdr:colOff>0</xdr:colOff>
      <xdr:row>48</xdr:row>
      <xdr:rowOff>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16</xdr:row>
      <xdr:rowOff>0</xdr:rowOff>
    </xdr:from>
    <xdr:to>
      <xdr:col>17</xdr:col>
      <xdr:colOff>0</xdr:colOff>
      <xdr:row>32</xdr:row>
      <xdr:rowOff>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Y232"/>
  <sheetViews>
    <sheetView tabSelected="1" workbookViewId="0"/>
  </sheetViews>
  <sheetFormatPr defaultRowHeight="15" x14ac:dyDescent="0.25"/>
  <sheetData>
    <row r="1" spans="1:25" x14ac:dyDescent="0.25">
      <c r="A1" s="1" t="s">
        <v>0</v>
      </c>
      <c r="V1" s="1" t="s">
        <v>1</v>
      </c>
      <c r="W1" s="1" t="s">
        <v>0</v>
      </c>
      <c r="X1" s="1" t="s">
        <v>7</v>
      </c>
      <c r="Y1" s="1" t="s">
        <v>8</v>
      </c>
    </row>
    <row r="2" spans="1:25" x14ac:dyDescent="0.25">
      <c r="A2">
        <v>10</v>
      </c>
      <c r="B2">
        <v>6</v>
      </c>
      <c r="C2">
        <v>5</v>
      </c>
      <c r="D2">
        <v>4</v>
      </c>
      <c r="E2">
        <v>3</v>
      </c>
      <c r="F2">
        <v>0</v>
      </c>
      <c r="V2">
        <v>0</v>
      </c>
      <c r="W2">
        <f>cfSab_mat(V2, $B$7:$E$11, $A$4:$E$4)</f>
        <v>10.000000000000007</v>
      </c>
      <c r="X2">
        <f>c_fSab_mat(V2, $B$7:$E$11, $A$4:$E$4)</f>
        <v>-1</v>
      </c>
      <c r="Y2">
        <f>c__fSab_mat(V2, $B$7:$E$11, $A$4:$E$4)</f>
        <v>0</v>
      </c>
    </row>
    <row r="3" spans="1:25" x14ac:dyDescent="0.25">
      <c r="A3" s="1" t="s">
        <v>1</v>
      </c>
      <c r="V3">
        <v>0.1</v>
      </c>
      <c r="W3">
        <f t="shared" ref="W3:W66" si="0">cfSab_mat(V3, $B$7:$E$11, $A$4:$E$4)</f>
        <v>9.9001398060549874</v>
      </c>
      <c r="X3" s="4">
        <f t="shared" ref="X3:X66" si="1">c_fSab_mat(V3, $B$7:$E$11, $A$4:$E$4)</f>
        <v>-0.99604683929106064</v>
      </c>
      <c r="Y3" s="4">
        <f t="shared" ref="Y3:Y66" si="2">c__fSab_mat(V3, $B$7:$E$11, $A$4:$E$4)</f>
        <v>6.8044375215871464E-2</v>
      </c>
    </row>
    <row r="4" spans="1:25" x14ac:dyDescent="0.25">
      <c r="A4">
        <v>0</v>
      </c>
      <c r="B4">
        <v>5</v>
      </c>
      <c r="C4">
        <v>7</v>
      </c>
      <c r="D4">
        <v>10</v>
      </c>
      <c r="E4">
        <v>15</v>
      </c>
      <c r="F4" t="s">
        <v>2</v>
      </c>
      <c r="V4">
        <v>0.2</v>
      </c>
      <c r="W4">
        <f t="shared" si="0"/>
        <v>9.8009237577896755</v>
      </c>
      <c r="X4" s="4">
        <f t="shared" si="1"/>
        <v>-0.98789275403170784</v>
      </c>
      <c r="Y4" s="4">
        <f t="shared" si="2"/>
        <v>9.1349880117277724E-2</v>
      </c>
    </row>
    <row r="5" spans="1:25" x14ac:dyDescent="0.25">
      <c r="V5">
        <v>0.3</v>
      </c>
      <c r="W5">
        <f t="shared" si="0"/>
        <v>9.7026102921108404</v>
      </c>
      <c r="X5" s="4">
        <f t="shared" si="1"/>
        <v>-0.97822298529735274</v>
      </c>
      <c r="Y5" s="4">
        <f t="shared" si="2"/>
        <v>0.10068026919904992</v>
      </c>
    </row>
    <row r="6" spans="1:25" x14ac:dyDescent="0.25">
      <c r="B6" s="1" t="s">
        <v>3</v>
      </c>
      <c r="C6" s="2" t="s">
        <v>6</v>
      </c>
      <c r="D6" s="1" t="s">
        <v>4</v>
      </c>
      <c r="E6" s="1" t="s">
        <v>5</v>
      </c>
      <c r="V6">
        <v>0.4</v>
      </c>
      <c r="W6">
        <f t="shared" si="0"/>
        <v>9.6052990522960329</v>
      </c>
      <c r="X6" s="4">
        <f t="shared" si="1"/>
        <v>-0.96794206552439688</v>
      </c>
      <c r="Y6" s="4">
        <f t="shared" si="2"/>
        <v>0.10430924436593177</v>
      </c>
    </row>
    <row r="7" spans="1:25" x14ac:dyDescent="0.25">
      <c r="B7" s="4">
        <f t="array" ref="B7:E11">KahaleInterpC1(B2:E2, B4:E4, A2)</f>
        <v>42.832895570957625</v>
      </c>
      <c r="C7" s="4">
        <v>1.7228087582671563</v>
      </c>
      <c r="D7">
        <v>0</v>
      </c>
      <c r="E7" s="4">
        <v>-32.832895570957618</v>
      </c>
      <c r="V7">
        <v>0.5</v>
      </c>
      <c r="W7">
        <f t="shared" si="0"/>
        <v>9.5090286611119907</v>
      </c>
      <c r="X7" s="4">
        <f t="shared" si="1"/>
        <v>-0.95745166893132916</v>
      </c>
      <c r="Y7" s="4">
        <f t="shared" si="2"/>
        <v>0.10517482341326401</v>
      </c>
    </row>
    <row r="8" spans="1:25" x14ac:dyDescent="0.25">
      <c r="B8" s="4">
        <v>4.3708268512125583</v>
      </c>
      <c r="C8" s="4">
        <v>0.27608416687335874</v>
      </c>
      <c r="D8" s="4">
        <v>-0.38406717167905863</v>
      </c>
      <c r="E8" s="4">
        <v>7.661134665792293</v>
      </c>
      <c r="V8">
        <v>0.6</v>
      </c>
      <c r="W8">
        <f t="shared" si="0"/>
        <v>9.4138088229835901</v>
      </c>
      <c r="X8" s="4">
        <f t="shared" si="1"/>
        <v>-0.94695523138149229</v>
      </c>
      <c r="Y8" s="4">
        <f t="shared" si="2"/>
        <v>0.10457690290177968</v>
      </c>
    </row>
    <row r="9" spans="1:25" x14ac:dyDescent="0.25">
      <c r="B9" s="4">
        <v>6.7353468293768941</v>
      </c>
      <c r="C9" s="4">
        <v>0.75654843673505467</v>
      </c>
      <c r="D9" s="4">
        <v>-8.2784088381397211E-2</v>
      </c>
      <c r="E9" s="4">
        <v>3.6849067836517335</v>
      </c>
      <c r="V9">
        <v>0.7</v>
      </c>
      <c r="W9">
        <f t="shared" si="0"/>
        <v>9.3196340900829071</v>
      </c>
      <c r="X9" s="4">
        <f t="shared" si="1"/>
        <v>-0.93656299294952583</v>
      </c>
      <c r="Y9" s="4">
        <f t="shared" si="2"/>
        <v>0.10316862847535391</v>
      </c>
    </row>
    <row r="10" spans="1:25" x14ac:dyDescent="0.25">
      <c r="B10" s="4">
        <v>21.627349117644886</v>
      </c>
      <c r="C10" s="4">
        <v>0.34336408329978735</v>
      </c>
      <c r="D10" s="4">
        <v>0.71433246161727171</v>
      </c>
      <c r="E10" s="4">
        <v>-14.792016154766859</v>
      </c>
      <c r="V10">
        <v>0.8</v>
      </c>
      <c r="W10">
        <f t="shared" si="0"/>
        <v>9.2264906710632602</v>
      </c>
      <c r="X10" s="4">
        <f t="shared" si="1"/>
        <v>-0.92633648061800555</v>
      </c>
      <c r="Y10" s="4">
        <f t="shared" si="2"/>
        <v>0.10130635353092672</v>
      </c>
    </row>
    <row r="11" spans="1:25" x14ac:dyDescent="0.25">
      <c r="B11" s="4">
        <v>7.0344990167984065</v>
      </c>
      <c r="C11" s="4">
        <v>1.6392203551791127</v>
      </c>
      <c r="D11">
        <v>0</v>
      </c>
      <c r="E11">
        <v>0</v>
      </c>
      <c r="V11">
        <v>0.9</v>
      </c>
      <c r="W11">
        <f t="shared" si="0"/>
        <v>9.1343601119170899</v>
      </c>
      <c r="X11" s="4">
        <f t="shared" si="1"/>
        <v>-0.91630991221704783</v>
      </c>
      <c r="Y11" s="4">
        <f t="shared" si="2"/>
        <v>9.9195757837057946E-2</v>
      </c>
    </row>
    <row r="12" spans="1:25" x14ac:dyDescent="0.25">
      <c r="V12">
        <v>1</v>
      </c>
      <c r="W12">
        <f t="shared" si="0"/>
        <v>9.0432214081752278</v>
      </c>
      <c r="X12" s="4">
        <f t="shared" si="1"/>
        <v>-0.90650144128599597</v>
      </c>
      <c r="Y12" s="4">
        <f t="shared" si="2"/>
        <v>9.696027310064366E-2</v>
      </c>
    </row>
    <row r="13" spans="1:25" x14ac:dyDescent="0.25">
      <c r="V13">
        <v>1.1000000000000001</v>
      </c>
      <c r="W13">
        <f t="shared" si="0"/>
        <v>8.9530522675962416</v>
      </c>
      <c r="X13" s="4">
        <f t="shared" si="1"/>
        <v>-0.89691945559615416</v>
      </c>
      <c r="Y13" s="4">
        <f t="shared" si="2"/>
        <v>9.4675929003108977E-2</v>
      </c>
    </row>
    <row r="14" spans="1:25" x14ac:dyDescent="0.25">
      <c r="V14">
        <v>1.2</v>
      </c>
      <c r="W14">
        <f t="shared" si="0"/>
        <v>8.8638298859294409</v>
      </c>
      <c r="X14" s="4">
        <f t="shared" si="1"/>
        <v>-0.88756628012105687</v>
      </c>
      <c r="Y14" s="4">
        <f t="shared" si="2"/>
        <v>9.2390272944009491E-2</v>
      </c>
    </row>
    <row r="15" spans="1:25" x14ac:dyDescent="0.25">
      <c r="V15">
        <v>1.3</v>
      </c>
      <c r="W15">
        <f t="shared" si="0"/>
        <v>8.7755314312467902</v>
      </c>
      <c r="X15" s="4">
        <f t="shared" si="1"/>
        <v>-0.87844043689930495</v>
      </c>
      <c r="Y15" s="4">
        <f t="shared" si="2"/>
        <v>9.0133174388339052E-2</v>
      </c>
    </row>
    <row r="16" spans="1:25" x14ac:dyDescent="0.25">
      <c r="V16">
        <v>1.4</v>
      </c>
      <c r="W16">
        <f t="shared" si="0"/>
        <v>8.6881343479175186</v>
      </c>
      <c r="X16" s="4">
        <f t="shared" si="1"/>
        <v>-0.86953806481862794</v>
      </c>
      <c r="Y16" s="4">
        <f t="shared" si="2"/>
        <v>8.792325071885583E-2</v>
      </c>
    </row>
    <row r="17" spans="22:25" x14ac:dyDescent="0.25">
      <c r="V17">
        <v>1.5</v>
      </c>
      <c r="W17">
        <f t="shared" si="0"/>
        <v>8.6016165460338172</v>
      </c>
      <c r="X17" s="4">
        <f t="shared" si="1"/>
        <v>-0.8608538318283564</v>
      </c>
      <c r="Y17" s="4">
        <f t="shared" si="2"/>
        <v>8.5771818078109144E-2</v>
      </c>
    </row>
    <row r="18" spans="22:25" x14ac:dyDescent="0.25">
      <c r="V18">
        <v>1.6</v>
      </c>
      <c r="W18">
        <f t="shared" si="0"/>
        <v>8.5159565166299203</v>
      </c>
      <c r="X18" s="4">
        <f t="shared" si="1"/>
        <v>-0.85238153097562286</v>
      </c>
      <c r="Y18" s="4">
        <f t="shared" si="2"/>
        <v>8.3685388014622192E-2</v>
      </c>
    </row>
    <row r="19" spans="22:25" x14ac:dyDescent="0.25">
      <c r="V19">
        <v>1.7</v>
      </c>
      <c r="W19">
        <f t="shared" si="0"/>
        <v>8.4311333981293259</v>
      </c>
      <c r="X19" s="4">
        <f t="shared" si="1"/>
        <v>-0.84411447445623089</v>
      </c>
      <c r="Y19" s="4">
        <f t="shared" si="2"/>
        <v>8.1667281466290348E-2</v>
      </c>
    </row>
    <row r="20" spans="22:25" x14ac:dyDescent="0.25">
      <c r="V20">
        <v>1.8</v>
      </c>
      <c r="W20">
        <f t="shared" si="0"/>
        <v>8.3471270104321391</v>
      </c>
      <c r="X20" s="4">
        <f t="shared" si="1"/>
        <v>-0.83604575590325936</v>
      </c>
      <c r="Y20" s="4">
        <f t="shared" si="2"/>
        <v>7.9718691972421818E-2</v>
      </c>
    </row>
    <row r="21" spans="22:25" x14ac:dyDescent="0.25">
      <c r="V21">
        <v>1.9</v>
      </c>
      <c r="W21">
        <f t="shared" si="0"/>
        <v>8.2639178674382592</v>
      </c>
      <c r="X21" s="4">
        <f t="shared" si="1"/>
        <v>-0.82816842522657341</v>
      </c>
      <c r="Y21" s="4">
        <f t="shared" si="2"/>
        <v>7.7839396980202022E-2</v>
      </c>
    </row>
    <row r="22" spans="22:25" x14ac:dyDescent="0.25">
      <c r="V22">
        <v>2</v>
      </c>
      <c r="W22">
        <f t="shared" si="0"/>
        <v>8.1814871752202833</v>
      </c>
      <c r="X22" s="4">
        <f t="shared" si="1"/>
        <v>-0.82047560459209856</v>
      </c>
      <c r="Y22" s="4">
        <f t="shared" si="2"/>
        <v>7.6028239682098459E-2</v>
      </c>
    </row>
    <row r="23" spans="22:25" x14ac:dyDescent="0.25">
      <c r="V23">
        <v>2.1</v>
      </c>
      <c r="W23">
        <f t="shared" si="0"/>
        <v>8.0998168207279946</v>
      </c>
      <c r="X23" s="4">
        <f t="shared" si="1"/>
        <v>-0.8129605643399036</v>
      </c>
      <c r="Y23" s="4">
        <f t="shared" si="2"/>
        <v>7.428345857162208E-2</v>
      </c>
    </row>
    <row r="24" spans="22:25" x14ac:dyDescent="0.25">
      <c r="V24">
        <v>2.2000000000000002</v>
      </c>
      <c r="W24">
        <f t="shared" si="0"/>
        <v>8.0188893543611641</v>
      </c>
      <c r="X24" s="4">
        <f t="shared" si="1"/>
        <v>-0.80561677140736965</v>
      </c>
      <c r="Y24" s="4">
        <f t="shared" si="2"/>
        <v>7.2602914400500082E-2</v>
      </c>
    </row>
    <row r="25" spans="22:25" x14ac:dyDescent="0.25">
      <c r="V25">
        <v>2.2999999999999998</v>
      </c>
      <c r="W25">
        <f t="shared" si="0"/>
        <v>7.9386879687069296</v>
      </c>
      <c r="X25" s="4">
        <f t="shared" si="1"/>
        <v>-0.79843791877686898</v>
      </c>
      <c r="Y25" s="4">
        <f t="shared" si="2"/>
        <v>7.0984247107907489E-2</v>
      </c>
    </row>
    <row r="26" spans="22:25" x14ac:dyDescent="0.25">
      <c r="V26">
        <v>2.4</v>
      </c>
      <c r="W26">
        <f t="shared" si="0"/>
        <v>7.8591964750290302</v>
      </c>
      <c r="X26" s="4">
        <f t="shared" si="1"/>
        <v>-0.79141794179386449</v>
      </c>
      <c r="Y26" s="4">
        <f t="shared" si="2"/>
        <v>6.942498442266945E-2</v>
      </c>
    </row>
    <row r="27" spans="22:25" x14ac:dyDescent="0.25">
      <c r="V27">
        <v>2.5</v>
      </c>
      <c r="W27">
        <f t="shared" si="0"/>
        <v>7.7803992786072484</v>
      </c>
      <c r="X27" s="4">
        <f t="shared" si="1"/>
        <v>-0.78455102540783317</v>
      </c>
      <c r="Y27" s="4">
        <f t="shared" si="2"/>
        <v>6.7922616805922126E-2</v>
      </c>
    </row>
    <row r="28" spans="22:25" x14ac:dyDescent="0.25">
      <c r="V28">
        <v>2.6</v>
      </c>
      <c r="W28">
        <f t="shared" si="0"/>
        <v>7.7022813536844268</v>
      </c>
      <c r="X28" s="4">
        <f t="shared" si="1"/>
        <v>-0.77783160516882677</v>
      </c>
      <c r="Y28" s="4">
        <f t="shared" si="2"/>
        <v>6.6474648774451667E-2</v>
      </c>
    </row>
    <row r="29" spans="22:25" x14ac:dyDescent="0.25">
      <c r="V29">
        <v>2.7</v>
      </c>
      <c r="W29">
        <f t="shared" si="0"/>
        <v>7.6248282185403298</v>
      </c>
      <c r="X29" s="4">
        <f t="shared" si="1"/>
        <v>-0.77125436397313973</v>
      </c>
      <c r="Y29" s="4">
        <f t="shared" si="2"/>
        <v>6.5078633554871562E-2</v>
      </c>
    </row>
    <row r="30" spans="22:25" x14ac:dyDescent="0.25">
      <c r="V30">
        <v>2.8</v>
      </c>
      <c r="W30">
        <f t="shared" si="0"/>
        <v>7.5480259110428349</v>
      </c>
      <c r="X30" s="4">
        <f t="shared" si="1"/>
        <v>-0.76481422596779425</v>
      </c>
      <c r="Y30" s="4">
        <f t="shared" si="2"/>
        <v>6.3732195927323987E-2</v>
      </c>
    </row>
    <row r="31" spans="22:25" x14ac:dyDescent="0.25">
      <c r="V31">
        <v>2.9</v>
      </c>
      <c r="W31">
        <f t="shared" si="0"/>
        <v>7.4718609649076342</v>
      </c>
      <c r="X31" s="4">
        <f t="shared" si="1"/>
        <v>-0.75850634861375366</v>
      </c>
      <c r="Y31" s="4">
        <f t="shared" si="2"/>
        <v>6.2433046684519475E-2</v>
      </c>
    </row>
    <row r="32" spans="22:25" x14ac:dyDescent="0.25">
      <c r="V32">
        <v>3</v>
      </c>
      <c r="W32">
        <f t="shared" si="0"/>
        <v>7.3963203868132368</v>
      </c>
      <c r="X32" s="4">
        <f t="shared" si="1"/>
        <v>-0.75232611361781265</v>
      </c>
      <c r="Y32" s="4">
        <f t="shared" si="2"/>
        <v>6.1178991139460466E-2</v>
      </c>
    </row>
    <row r="33" spans="22:25" x14ac:dyDescent="0.25">
      <c r="V33">
        <v>3.1</v>
      </c>
      <c r="W33">
        <f t="shared" si="0"/>
        <v>7.3213916344575765</v>
      </c>
      <c r="X33" s="4">
        <f t="shared" si="1"/>
        <v>-0.7462691172365199</v>
      </c>
      <c r="Y33" s="4">
        <f t="shared" si="2"/>
        <v>5.9967933420960289E-2</v>
      </c>
    </row>
    <row r="34" spans="22:25" x14ac:dyDescent="0.25">
      <c r="V34">
        <v>3.2</v>
      </c>
      <c r="W34">
        <f t="shared" si="0"/>
        <v>7.2470625956003829</v>
      </c>
      <c r="X34" s="4">
        <f t="shared" si="1"/>
        <v>-0.74033116030747959</v>
      </c>
      <c r="Y34" s="4">
        <f t="shared" si="2"/>
        <v>5.8797877806128655E-2</v>
      </c>
    </row>
    <row r="35" spans="22:25" x14ac:dyDescent="0.25">
      <c r="V35">
        <v>3.3</v>
      </c>
      <c r="W35">
        <f t="shared" si="0"/>
        <v>7.1733215681053579</v>
      </c>
      <c r="X35" s="4">
        <f t="shared" si="1"/>
        <v>-0.73450823825686218</v>
      </c>
      <c r="Y35" s="4">
        <f t="shared" si="2"/>
        <v>5.7666927990484007E-2</v>
      </c>
    </row>
    <row r="36" spans="22:25" x14ac:dyDescent="0.25">
      <c r="V36">
        <v>3.4</v>
      </c>
      <c r="W36">
        <f t="shared" si="0"/>
        <v>7.1001572409752924</v>
      </c>
      <c r="X36" s="4">
        <f t="shared" si="1"/>
        <v>-0.72879653125506005</v>
      </c>
      <c r="Y36" s="4">
        <f t="shared" si="2"/>
        <v>5.6573284946695758E-2</v>
      </c>
    </row>
    <row r="37" spans="22:25" x14ac:dyDescent="0.25">
      <c r="V37">
        <v>3.5</v>
      </c>
      <c r="W37">
        <f t="shared" si="0"/>
        <v>7.0275586763592059</v>
      </c>
      <c r="X37" s="4">
        <f t="shared" si="1"/>
        <v>-0.72319239463680318</v>
      </c>
      <c r="Y37" s="4">
        <f t="shared" si="2"/>
        <v>5.5515243843011493E-2</v>
      </c>
    </row>
    <row r="38" spans="22:25" x14ac:dyDescent="0.25">
      <c r="V38">
        <v>3.6</v>
      </c>
      <c r="W38">
        <f t="shared" si="0"/>
        <v>6.9555152925009622</v>
      </c>
      <c r="X38" s="4">
        <f t="shared" si="1"/>
        <v>-0.7176923496618115</v>
      </c>
      <c r="Y38" s="4">
        <f t="shared" si="2"/>
        <v>5.4491190362028201E-2</v>
      </c>
    </row>
    <row r="39" spans="22:25" x14ac:dyDescent="0.25">
      <c r="V39">
        <v>3.7</v>
      </c>
      <c r="W39">
        <f t="shared" si="0"/>
        <v>6.8840168475927328</v>
      </c>
      <c r="X39" s="4">
        <f t="shared" si="1"/>
        <v>-0.71229307466299396</v>
      </c>
      <c r="Y39" s="4">
        <f t="shared" si="2"/>
        <v>5.3499596665553394E-2</v>
      </c>
    </row>
    <row r="40" spans="22:25" x14ac:dyDescent="0.25">
      <c r="V40">
        <v>3.8</v>
      </c>
      <c r="W40">
        <f t="shared" si="0"/>
        <v>6.8130534244930843</v>
      </c>
      <c r="X40" s="4">
        <f t="shared" si="1"/>
        <v>-0.70699139660826815</v>
      </c>
      <c r="Y40" s="4">
        <f t="shared" si="2"/>
        <v>5.2539017181966186E-2</v>
      </c>
    </row>
    <row r="41" spans="22:25" x14ac:dyDescent="0.25">
      <c r="V41">
        <v>3.9</v>
      </c>
      <c r="W41">
        <f t="shared" si="0"/>
        <v>6.7426154162677108</v>
      </c>
      <c r="X41" s="4">
        <f t="shared" si="1"/>
        <v>-0.70178428308711449</v>
      </c>
      <c r="Y41" s="4">
        <f t="shared" si="2"/>
        <v>5.1608084341700854E-2</v>
      </c>
    </row>
    <row r="42" spans="22:25" x14ac:dyDescent="0.25">
      <c r="V42">
        <v>4</v>
      </c>
      <c r="W42">
        <f t="shared" si="0"/>
        <v>6.6726935125102429</v>
      </c>
      <c r="X42" s="4">
        <f t="shared" si="1"/>
        <v>-0.69666883472236529</v>
      </c>
      <c r="Y42" s="4">
        <f t="shared" si="2"/>
        <v>5.0705504349209014E-2</v>
      </c>
    </row>
    <row r="43" spans="22:25" x14ac:dyDescent="0.25">
      <c r="V43">
        <v>4.0999999999999996</v>
      </c>
      <c r="W43">
        <f t="shared" si="0"/>
        <v>6.6032786864007704</v>
      </c>
      <c r="X43" s="4">
        <f t="shared" si="1"/>
        <v>-0.69164227800034084</v>
      </c>
      <c r="Y43" s="4">
        <f t="shared" si="2"/>
        <v>4.9830053052395157E-2</v>
      </c>
    </row>
    <row r="44" spans="22:25" x14ac:dyDescent="0.25">
      <c r="V44">
        <v>4.2</v>
      </c>
      <c r="W44">
        <f t="shared" si="0"/>
        <v>6.5343621824610736</v>
      </c>
      <c r="X44" s="4">
        <f t="shared" si="1"/>
        <v>-0.68670195850739324</v>
      </c>
      <c r="Y44" s="4">
        <f t="shared" si="2"/>
        <v>4.898057195044369E-2</v>
      </c>
    </row>
    <row r="45" spans="22:25" x14ac:dyDescent="0.25">
      <c r="V45">
        <v>4.3</v>
      </c>
      <c r="W45">
        <f t="shared" si="0"/>
        <v>6.4659355049663958</v>
      </c>
      <c r="X45" s="4">
        <f t="shared" si="1"/>
        <v>-0.68184533455760854</v>
      </c>
      <c r="Y45" s="4">
        <f t="shared" si="2"/>
        <v>4.8155964366254217E-2</v>
      </c>
    </row>
    <row r="46" spans="22:25" x14ac:dyDescent="0.25">
      <c r="V46">
        <v>4.4000000000000004</v>
      </c>
      <c r="W46">
        <f t="shared" si="0"/>
        <v>6.3979904069756088</v>
      </c>
      <c r="X46" s="4">
        <f t="shared" si="1"/>
        <v>-0.67706997119434953</v>
      </c>
      <c r="Y46" s="4">
        <f t="shared" si="2"/>
        <v>4.7355191798979498E-2</v>
      </c>
    </row>
    <row r="47" spans="22:25" x14ac:dyDescent="0.25">
      <c r="V47">
        <v>4.5</v>
      </c>
      <c r="W47">
        <f t="shared" si="0"/>
        <v>6.3305188799433694</v>
      </c>
      <c r="X47" s="4">
        <f t="shared" si="1"/>
        <v>-0.67237353454719484</v>
      </c>
      <c r="Y47" s="4">
        <f t="shared" si="2"/>
        <v>4.6577270464388261E-2</v>
      </c>
    </row>
    <row r="48" spans="22:25" x14ac:dyDescent="0.25">
      <c r="V48">
        <v>4.5999999999999996</v>
      </c>
      <c r="W48">
        <f t="shared" si="0"/>
        <v>6.2635131438795</v>
      </c>
      <c r="X48" s="4">
        <f t="shared" si="1"/>
        <v>-0.66775378652534045</v>
      </c>
      <c r="Y48" s="4">
        <f t="shared" si="2"/>
        <v>4.5821268025193061E-2</v>
      </c>
    </row>
    <row r="49" spans="22:25" x14ac:dyDescent="0.25">
      <c r="V49">
        <v>4.7</v>
      </c>
      <c r="W49">
        <f t="shared" si="0"/>
        <v>6.1969656380230944</v>
      </c>
      <c r="X49" s="4">
        <f t="shared" si="1"/>
        <v>-0.66320857982853443</v>
      </c>
      <c r="Y49" s="4">
        <f t="shared" si="2"/>
        <v>4.5086300509529054E-2</v>
      </c>
    </row>
    <row r="50" spans="22:25" x14ac:dyDescent="0.25">
      <c r="V50">
        <v>4.8</v>
      </c>
      <c r="W50">
        <f t="shared" si="0"/>
        <v>6.1308690120003462</v>
      </c>
      <c r="X50" s="4">
        <f t="shared" si="1"/>
        <v>-0.65873585325693662</v>
      </c>
      <c r="Y50" s="4">
        <f t="shared" si="2"/>
        <v>4.437152941302281E-2</v>
      </c>
    </row>
    <row r="51" spans="22:25" x14ac:dyDescent="0.25">
      <c r="V51">
        <v>4.9000000000000004</v>
      </c>
      <c r="W51">
        <f t="shared" si="0"/>
        <v>6.0652161174372807</v>
      </c>
      <c r="X51" s="4">
        <f t="shared" si="1"/>
        <v>-0.65433362730185285</v>
      </c>
      <c r="Y51" s="4">
        <f t="shared" si="2"/>
        <v>4.3676158978039122E-2</v>
      </c>
    </row>
    <row r="52" spans="22:25" x14ac:dyDescent="0.25">
      <c r="V52">
        <v>5</v>
      </c>
      <c r="W52">
        <f t="shared" si="0"/>
        <v>5.9999999999999991</v>
      </c>
      <c r="X52" s="4">
        <f t="shared" si="1"/>
        <v>-0.64999999999999991</v>
      </c>
      <c r="Y52" s="4">
        <f t="shared" si="2"/>
        <v>0.23770144451216144</v>
      </c>
    </row>
    <row r="53" spans="22:25" x14ac:dyDescent="0.25">
      <c r="V53">
        <v>5.0999999999999996</v>
      </c>
      <c r="W53">
        <f t="shared" si="0"/>
        <v>5.9361626885736767</v>
      </c>
      <c r="X53" s="4">
        <f t="shared" si="1"/>
        <v>-0.62700381022086826</v>
      </c>
      <c r="Y53" s="4">
        <f t="shared" si="2"/>
        <v>0.22224929541619592</v>
      </c>
    </row>
    <row r="54" spans="22:25" x14ac:dyDescent="0.25">
      <c r="V54">
        <v>5.2</v>
      </c>
      <c r="W54">
        <f t="shared" si="0"/>
        <v>5.8745480704414028</v>
      </c>
      <c r="X54" s="4">
        <f t="shared" si="1"/>
        <v>-0.60554214306434861</v>
      </c>
      <c r="Y54" s="4">
        <f t="shared" si="2"/>
        <v>0.20703613753274153</v>
      </c>
    </row>
    <row r="55" spans="22:25" x14ac:dyDescent="0.25">
      <c r="V55">
        <v>5.3</v>
      </c>
      <c r="W55">
        <f t="shared" si="0"/>
        <v>5.8150041281364082</v>
      </c>
      <c r="X55" s="4">
        <f t="shared" si="1"/>
        <v>-0.58558401936858628</v>
      </c>
      <c r="Y55" s="4">
        <f t="shared" si="2"/>
        <v>0.19219899623688488</v>
      </c>
    </row>
    <row r="56" spans="22:25" x14ac:dyDescent="0.25">
      <c r="V56">
        <v>5.4</v>
      </c>
      <c r="W56">
        <f t="shared" si="0"/>
        <v>5.757382582285218</v>
      </c>
      <c r="X56" s="4">
        <f t="shared" si="1"/>
        <v>-0.56708609766737128</v>
      </c>
      <c r="Y56" s="4">
        <f t="shared" si="2"/>
        <v>0.17784842904365544</v>
      </c>
    </row>
    <row r="57" spans="22:25" x14ac:dyDescent="0.25">
      <c r="V57">
        <v>5.5</v>
      </c>
      <c r="W57">
        <f t="shared" si="0"/>
        <v>5.7015399990086522</v>
      </c>
      <c r="X57" s="4">
        <f t="shared" si="1"/>
        <v>-0.5499952143506871</v>
      </c>
      <c r="Y57" s="4">
        <f t="shared" si="2"/>
        <v>0.16407070866604587</v>
      </c>
    </row>
    <row r="58" spans="22:25" x14ac:dyDescent="0.25">
      <c r="V58">
        <v>5.6</v>
      </c>
      <c r="W58">
        <f t="shared" si="0"/>
        <v>5.6473386546646722</v>
      </c>
      <c r="X58" s="4">
        <f t="shared" si="1"/>
        <v>-0.53425069285220905</v>
      </c>
      <c r="Y58" s="4">
        <f t="shared" si="2"/>
        <v>0.15093023543845038</v>
      </c>
    </row>
    <row r="59" spans="22:25" x14ac:dyDescent="0.25">
      <c r="V59">
        <v>5.7</v>
      </c>
      <c r="W59">
        <f t="shared" si="0"/>
        <v>5.5946471819496821</v>
      </c>
      <c r="X59" s="4">
        <f t="shared" si="1"/>
        <v>-0.51978640563342304</v>
      </c>
      <c r="Y59" s="4">
        <f t="shared" si="2"/>
        <v>0.13847204978622871</v>
      </c>
    </row>
    <row r="60" spans="22:25" x14ac:dyDescent="0.25">
      <c r="V60">
        <v>5.8</v>
      </c>
      <c r="W60">
        <f t="shared" si="0"/>
        <v>5.5433410223983</v>
      </c>
      <c r="X60" s="4">
        <f t="shared" si="1"/>
        <v>-0.50653258426459469</v>
      </c>
      <c r="Y60" s="4">
        <f t="shared" si="2"/>
        <v>0.12672434302259464</v>
      </c>
    </row>
    <row r="61" spans="22:25" x14ac:dyDescent="0.25">
      <c r="V61">
        <v>5.9</v>
      </c>
      <c r="W61">
        <f t="shared" si="0"/>
        <v>5.4933027103255645</v>
      </c>
      <c r="X61" s="4">
        <f t="shared" si="1"/>
        <v>-0.49441738181222267</v>
      </c>
      <c r="Y61" s="4">
        <f t="shared" si="2"/>
        <v>0.1157008894815364</v>
      </c>
    </row>
    <row r="62" spans="22:25" x14ac:dyDescent="0.25">
      <c r="V62">
        <v>6</v>
      </c>
      <c r="W62">
        <f t="shared" si="0"/>
        <v>5.4444220124867693</v>
      </c>
      <c r="X62" s="4">
        <f t="shared" si="1"/>
        <v>-0.48336819834052086</v>
      </c>
      <c r="Y62" s="4">
        <f t="shared" si="2"/>
        <v>0.1054033444611894</v>
      </c>
    </row>
    <row r="63" spans="22:25" x14ac:dyDescent="0.25">
      <c r="V63">
        <v>6.1</v>
      </c>
      <c r="W63">
        <f t="shared" si="0"/>
        <v>5.396595946403318</v>
      </c>
      <c r="X63" s="4">
        <f t="shared" si="1"/>
        <v>-0.47331278495377321</v>
      </c>
      <c r="Y63" s="4">
        <f t="shared" si="2"/>
        <v>9.5823370561719773E-2</v>
      </c>
    </row>
    <row r="64" spans="22:25" x14ac:dyDescent="0.25">
      <c r="V64">
        <v>6.2</v>
      </c>
      <c r="W64">
        <f t="shared" si="0"/>
        <v>5.3497286985993071</v>
      </c>
      <c r="X64" s="4">
        <f t="shared" si="1"/>
        <v>-0.46418014477860553</v>
      </c>
      <c r="Y64" s="4">
        <f t="shared" si="2"/>
        <v>8.6944569866347798E-2</v>
      </c>
    </row>
    <row r="65" spans="22:25" x14ac:dyDescent="0.25">
      <c r="V65">
        <v>6.3</v>
      </c>
      <c r="W65">
        <f t="shared" si="0"/>
        <v>5.3037314620618554</v>
      </c>
      <c r="X65" s="4">
        <f t="shared" si="1"/>
        <v>-0.45590125092342082</v>
      </c>
      <c r="Y65" s="4">
        <f t="shared" si="2"/>
        <v>7.8744211277525386E-2</v>
      </c>
    </row>
    <row r="66" spans="22:25" x14ac:dyDescent="0.25">
      <c r="V66">
        <v>6.4</v>
      </c>
      <c r="W66">
        <f t="shared" si="0"/>
        <v>5.2585222101973859</v>
      </c>
      <c r="X66" s="4">
        <f t="shared" si="1"/>
        <v>-0.44840960204101915</v>
      </c>
      <c r="Y66" s="4">
        <f t="shared" si="2"/>
        <v>7.119475150320502E-2</v>
      </c>
    </row>
    <row r="67" spans="22:25" x14ac:dyDescent="0.25">
      <c r="V67">
        <v>6.5</v>
      </c>
      <c r="W67">
        <f t="shared" ref="W67:W130" si="3">cfSab_mat(V67, $B$7:$E$11, $A$4:$E$4)</f>
        <v>5.2140254224982598</v>
      </c>
      <c r="X67" s="4">
        <f t="shared" ref="X67:X130" si="4">c_fSab_mat(V67, $B$7:$E$11, $A$4:$E$4)</f>
        <v>-0.44164163591017003</v>
      </c>
      <c r="Y67" s="4">
        <f t="shared" ref="Y67:Y130" si="5">c__fSab_mat(V67, $B$7:$E$11, $A$4:$E$4)</f>
        <v>6.4265155046080102E-2</v>
      </c>
    </row>
    <row r="68" spans="22:25" x14ac:dyDescent="0.25">
      <c r="V68">
        <v>6.6</v>
      </c>
      <c r="W68">
        <f t="shared" si="3"/>
        <v>5.1701717751282654</v>
      </c>
      <c r="X68" s="4">
        <f t="shared" si="4"/>
        <v>-0.43553702065705119</v>
      </c>
      <c r="Y68" s="4">
        <f t="shared" si="5"/>
        <v>5.7922023441892935E-2</v>
      </c>
    </row>
    <row r="69" spans="22:25" x14ac:dyDescent="0.25">
      <c r="V69">
        <v>6.7</v>
      </c>
      <c r="W69">
        <f t="shared" si="3"/>
        <v>5.1268978077306651</v>
      </c>
      <c r="X69" s="4">
        <f t="shared" si="4"/>
        <v>-0.43003884203707116</v>
      </c>
      <c r="Y69" s="4">
        <f t="shared" si="5"/>
        <v>5.2130547266136189E-2</v>
      </c>
    </row>
    <row r="70" spans="22:25" x14ac:dyDescent="0.25">
      <c r="V70">
        <v>6.8</v>
      </c>
      <c r="W70">
        <f t="shared" si="3"/>
        <v>5.0841455759918119</v>
      </c>
      <c r="X70" s="4">
        <f t="shared" si="4"/>
        <v>-0.42509370373753652</v>
      </c>
      <c r="Y70" s="4">
        <f t="shared" si="5"/>
        <v>4.6855296398190159E-2</v>
      </c>
    </row>
    <row r="71" spans="22:25" x14ac:dyDescent="0.25">
      <c r="V71">
        <v>6.9</v>
      </c>
      <c r="W71">
        <f t="shared" si="3"/>
        <v>5.0418622978767171</v>
      </c>
      <c r="X71" s="4">
        <f t="shared" si="4"/>
        <v>-0.42065175605790073</v>
      </c>
      <c r="Y71" s="4">
        <f t="shared" si="5"/>
        <v>4.2060864979451502E-2</v>
      </c>
    </row>
    <row r="72" spans="22:25" x14ac:dyDescent="0.25">
      <c r="V72">
        <v>7</v>
      </c>
      <c r="W72">
        <f t="shared" si="3"/>
        <v>5.0000000000000009</v>
      </c>
      <c r="X72" s="4">
        <f t="shared" si="4"/>
        <v>-0.41666666666666646</v>
      </c>
      <c r="Y72" s="4">
        <f t="shared" si="5"/>
        <v>6.8702226558615173E-2</v>
      </c>
    </row>
    <row r="73" spans="22:25" x14ac:dyDescent="0.25">
      <c r="V73">
        <v>7.1</v>
      </c>
      <c r="W73">
        <f t="shared" si="3"/>
        <v>4.9586742939540835</v>
      </c>
      <c r="X73" s="4">
        <f t="shared" si="4"/>
        <v>-0.40987282668676617</v>
      </c>
      <c r="Y73" s="4">
        <f t="shared" si="5"/>
        <v>6.7179877006709673E-2</v>
      </c>
    </row>
    <row r="74" spans="22:25" x14ac:dyDescent="0.25">
      <c r="V74">
        <v>7.2</v>
      </c>
      <c r="W74">
        <f t="shared" si="3"/>
        <v>4.9180204131061993</v>
      </c>
      <c r="X74" s="4">
        <f t="shared" si="4"/>
        <v>-0.40322963417401453</v>
      </c>
      <c r="Y74" s="4">
        <f t="shared" si="5"/>
        <v>6.5689238551668805E-2</v>
      </c>
    </row>
    <row r="75" spans="22:25" x14ac:dyDescent="0.25">
      <c r="V75">
        <v>7.3</v>
      </c>
      <c r="W75">
        <f t="shared" si="3"/>
        <v>4.8780234508586373</v>
      </c>
      <c r="X75" s="4">
        <f t="shared" si="4"/>
        <v>-0.39673393040825494</v>
      </c>
      <c r="Y75" s="4">
        <f t="shared" si="5"/>
        <v>6.4230055701121377E-2</v>
      </c>
    </row>
    <row r="76" spans="22:25" x14ac:dyDescent="0.25">
      <c r="V76">
        <v>7.4</v>
      </c>
      <c r="W76">
        <f t="shared" si="3"/>
        <v>4.8386688151336745</v>
      </c>
      <c r="X76" s="4">
        <f t="shared" si="4"/>
        <v>-0.39038258443120349</v>
      </c>
      <c r="Y76" s="4">
        <f t="shared" si="5"/>
        <v>6.2802029669948634E-2</v>
      </c>
    </row>
    <row r="77" spans="22:25" x14ac:dyDescent="0.25">
      <c r="V77">
        <v>7.5</v>
      </c>
      <c r="W77">
        <f t="shared" si="3"/>
        <v>4.7999422253902981</v>
      </c>
      <c r="X77" s="4">
        <f t="shared" si="4"/>
        <v>-0.38417249709697904</v>
      </c>
      <c r="Y77" s="4">
        <f t="shared" si="5"/>
        <v>6.1404823864425931E-2</v>
      </c>
    </row>
    <row r="78" spans="22:25" x14ac:dyDescent="0.25">
      <c r="V78">
        <v>7.6</v>
      </c>
      <c r="W78">
        <f t="shared" si="3"/>
        <v>4.7618297092624031</v>
      </c>
      <c r="X78" s="4">
        <f t="shared" si="4"/>
        <v>-0.37810060460062189</v>
      </c>
      <c r="Y78" s="4">
        <f t="shared" si="5"/>
        <v>6.0038068846374699E-2</v>
      </c>
    </row>
    <row r="79" spans="22:25" x14ac:dyDescent="0.25">
      <c r="V79">
        <v>7.7</v>
      </c>
      <c r="W79">
        <f t="shared" si="3"/>
        <v>4.7243175988681436</v>
      </c>
      <c r="X79" s="4">
        <f t="shared" si="4"/>
        <v>-0.372163881534253</v>
      </c>
      <c r="Y79" s="4">
        <f t="shared" si="5"/>
        <v>5.870136682357268E-2</v>
      </c>
    </row>
    <row r="80" spans="22:25" x14ac:dyDescent="0.25">
      <c r="V80">
        <v>7.8</v>
      </c>
      <c r="W80">
        <f t="shared" si="3"/>
        <v>4.6873925268354011</v>
      </c>
      <c r="X80" s="4">
        <f t="shared" si="4"/>
        <v>-0.36635934351610444</v>
      </c>
      <c r="Y80" s="4">
        <f t="shared" si="5"/>
        <v>5.7394295708633442E-2</v>
      </c>
    </row>
    <row r="81" spans="22:25" x14ac:dyDescent="0.25">
      <c r="V81">
        <v>7.9</v>
      </c>
      <c r="W81">
        <f t="shared" si="3"/>
        <v>4.6510414220839582</v>
      </c>
      <c r="X81" s="4">
        <f t="shared" si="4"/>
        <v>-0.36068404943361759</v>
      </c>
      <c r="Y81" s="4">
        <f t="shared" si="5"/>
        <v>5.6116412784873199E-2</v>
      </c>
    </row>
    <row r="82" spans="22:25" x14ac:dyDescent="0.25">
      <c r="V82">
        <v>8</v>
      </c>
      <c r="W82">
        <f t="shared" si="3"/>
        <v>4.615251505401087</v>
      </c>
      <c r="X82" s="4">
        <f t="shared" si="4"/>
        <v>-0.35513510333812998</v>
      </c>
      <c r="Y82" s="4">
        <f t="shared" si="5"/>
        <v>5.4867258014309354E-2</v>
      </c>
    </row>
    <row r="83" spans="22:25" x14ac:dyDescent="0.25">
      <c r="V83">
        <v>8.1</v>
      </c>
      <c r="W83">
        <f t="shared" si="3"/>
        <v>4.5800102848436568</v>
      </c>
      <c r="X83" s="4">
        <f t="shared" si="4"/>
        <v>-0.34970965602530624</v>
      </c>
      <c r="Y83" s="4">
        <f t="shared" si="5"/>
        <v>5.3646357019851071E-2</v>
      </c>
    </row>
    <row r="84" spans="22:25" x14ac:dyDescent="0.25">
      <c r="V84">
        <v>8.1999999999999993</v>
      </c>
      <c r="W84">
        <f t="shared" si="3"/>
        <v>4.5453055509965958</v>
      </c>
      <c r="X84" s="4">
        <f t="shared" si="4"/>
        <v>-0.34440490633241039</v>
      </c>
      <c r="Y84" s="4">
        <f t="shared" si="5"/>
        <v>5.2453223770926274E-2</v>
      </c>
    </row>
    <row r="85" spans="22:25" x14ac:dyDescent="0.25">
      <c r="V85">
        <v>8.3000000000000007</v>
      </c>
      <c r="W85">
        <f t="shared" si="3"/>
        <v>4.5111253721146012</v>
      </c>
      <c r="X85" s="4">
        <f t="shared" si="4"/>
        <v>-0.33921810218072368</v>
      </c>
      <c r="Y85" s="4">
        <f t="shared" si="5"/>
        <v>5.1287362999219238E-2</v>
      </c>
    </row>
    <row r="86" spans="22:25" x14ac:dyDescent="0.25">
      <c r="V86">
        <v>8.4</v>
      </c>
      <c r="W86">
        <f t="shared" si="3"/>
        <v>4.4774580891712636</v>
      </c>
      <c r="X86" s="4">
        <f t="shared" si="4"/>
        <v>-0.33414654138885908</v>
      </c>
      <c r="Y86" s="4">
        <f t="shared" si="5"/>
        <v>5.0148272368845413E-2</v>
      </c>
    </row>
    <row r="87" spans="22:25" x14ac:dyDescent="0.25">
      <c r="V87">
        <v>8.5</v>
      </c>
      <c r="W87">
        <f t="shared" si="3"/>
        <v>4.4442923108373256</v>
      </c>
      <c r="X87" s="4">
        <f t="shared" si="4"/>
        <v>-0.32918757228040396</v>
      </c>
      <c r="Y87" s="4">
        <f t="shared" si="5"/>
        <v>4.9035444423149187E-2</v>
      </c>
    </row>
    <row r="88" spans="22:25" x14ac:dyDescent="0.25">
      <c r="V88">
        <v>8.6</v>
      </c>
      <c r="W88">
        <f t="shared" si="3"/>
        <v>4.4116169084075683</v>
      </c>
      <c r="X88" s="4">
        <f t="shared" si="4"/>
        <v>-0.32433859410720117</v>
      </c>
      <c r="Y88" s="4">
        <f t="shared" si="5"/>
        <v>4.7948368328356333E-2</v>
      </c>
    </row>
    <row r="89" spans="22:25" x14ac:dyDescent="0.25">
      <c r="V89">
        <v>8.6999999999999993</v>
      </c>
      <c r="W89">
        <f t="shared" si="3"/>
        <v>4.379421010693779</v>
      </c>
      <c r="X89" s="4">
        <f t="shared" si="4"/>
        <v>-0.3195970573076462</v>
      </c>
      <c r="Y89" s="4">
        <f t="shared" si="5"/>
        <v>4.6886531432530174E-2</v>
      </c>
    </row>
    <row r="90" spans="22:25" x14ac:dyDescent="0.25">
      <c r="V90">
        <v>8.8000000000000007</v>
      </c>
      <c r="W90">
        <f t="shared" si="3"/>
        <v>4.3476939988993788</v>
      </c>
      <c r="X90" s="4">
        <f t="shared" si="4"/>
        <v>-0.31496046361761665</v>
      </c>
      <c r="Y90" s="4">
        <f t="shared" si="5"/>
        <v>4.5849420656654594E-2</v>
      </c>
    </row>
    <row r="91" spans="22:25" x14ac:dyDescent="0.25">
      <c r="V91">
        <v>8.9</v>
      </c>
      <c r="W91">
        <f t="shared" si="3"/>
        <v>4.3164255014896762</v>
      </c>
      <c r="X91" s="4">
        <f t="shared" si="4"/>
        <v>-0.3104263660500422</v>
      </c>
      <c r="Y91" s="4">
        <f t="shared" si="5"/>
        <v>4.483652373318376E-2</v>
      </c>
    </row>
    <row r="92" spans="22:25" x14ac:dyDescent="0.25">
      <c r="V92">
        <v>9</v>
      </c>
      <c r="W92">
        <f t="shared" si="3"/>
        <v>4.2856053890700974</v>
      </c>
      <c r="X92" s="4">
        <f t="shared" si="4"/>
        <v>-0.30599236875765695</v>
      </c>
      <c r="Y92" s="4">
        <f t="shared" si="5"/>
        <v>4.3847330306045415E-2</v>
      </c>
    </row>
    <row r="93" spans="22:25" x14ac:dyDescent="0.25">
      <c r="V93">
        <v>9.1</v>
      </c>
      <c r="W93">
        <f t="shared" si="3"/>
        <v>4.2552237692834431</v>
      </c>
      <c r="X93" s="4">
        <f t="shared" si="4"/>
        <v>-0.30165612679214393</v>
      </c>
      <c r="Y93" s="4">
        <f t="shared" si="5"/>
        <v>4.2881332904851258E-2</v>
      </c>
    </row>
    <row r="94" spans="22:25" x14ac:dyDescent="0.25">
      <c r="V94">
        <v>9.1999999999999993</v>
      </c>
      <c r="W94">
        <f t="shared" si="3"/>
        <v>4.2252709817359024</v>
      </c>
      <c r="X94" s="4">
        <f t="shared" si="4"/>
        <v>-0.29741534577165873</v>
      </c>
      <c r="Y94" s="4">
        <f t="shared" si="5"/>
        <v>4.1938027804941831E-2</v>
      </c>
    </row>
    <row r="95" spans="22:25" x14ac:dyDescent="0.25">
      <c r="V95">
        <v>9.3000000000000007</v>
      </c>
      <c r="W95">
        <f t="shared" si="3"/>
        <v>4.1957375929604268</v>
      </c>
      <c r="X95" s="4">
        <f t="shared" si="4"/>
        <v>-0.29326778146761096</v>
      </c>
      <c r="Y95" s="4">
        <f t="shared" si="5"/>
        <v>4.1016915783867319E-2</v>
      </c>
    </row>
    <row r="96" spans="22:25" x14ac:dyDescent="0.25">
      <c r="V96">
        <v>9.4</v>
      </c>
      <c r="W96">
        <f t="shared" si="3"/>
        <v>4.1666143914250693</v>
      </c>
      <c r="X96" s="4">
        <f t="shared" si="4"/>
        <v>-0.2892112393205698</v>
      </c>
      <c r="Y96" s="4">
        <f t="shared" si="5"/>
        <v>4.011750278396925E-2</v>
      </c>
    </row>
    <row r="97" spans="22:25" x14ac:dyDescent="0.25">
      <c r="V97">
        <v>9.5</v>
      </c>
      <c r="W97">
        <f t="shared" si="3"/>
        <v>4.1378923825928773</v>
      </c>
      <c r="X97" s="4">
        <f t="shared" si="4"/>
        <v>-0.28524357389423588</v>
      </c>
      <c r="Y97" s="4">
        <f t="shared" si="5"/>
        <v>3.9239300489874118E-2</v>
      </c>
    </row>
    <row r="98" spans="22:25" x14ac:dyDescent="0.25">
      <c r="V98">
        <v>9.6</v>
      </c>
      <c r="W98">
        <f t="shared" si="3"/>
        <v>4.1095627840391664</v>
      </c>
      <c r="X98" s="4">
        <f t="shared" si="4"/>
        <v>-0.28136268827557992</v>
      </c>
      <c r="Y98" s="4">
        <f t="shared" si="5"/>
        <v>3.8381826828930869E-2</v>
      </c>
    </row>
    <row r="99" spans="22:25" x14ac:dyDescent="0.25">
      <c r="V99">
        <v>9.6999999999999993</v>
      </c>
      <c r="W99">
        <f t="shared" si="3"/>
        <v>4.081617020631148</v>
      </c>
      <c r="X99" s="4">
        <f t="shared" si="4"/>
        <v>-0.2775665334284832</v>
      </c>
      <c r="Y99" s="4">
        <f t="shared" si="5"/>
        <v>3.7544606401913851E-2</v>
      </c>
    </row>
    <row r="100" spans="22:25" x14ac:dyDescent="0.25">
      <c r="V100">
        <v>9.8000000000000007</v>
      </c>
      <c r="W100">
        <f t="shared" si="3"/>
        <v>4.0540467197742371</v>
      </c>
      <c r="X100" s="4">
        <f t="shared" si="4"/>
        <v>-0.27385310750751352</v>
      </c>
      <c r="Y100" s="4">
        <f t="shared" si="5"/>
        <v>3.6727170850664098E-2</v>
      </c>
    </row>
    <row r="101" spans="22:25" x14ac:dyDescent="0.25">
      <c r="V101">
        <v>9.9</v>
      </c>
      <c r="W101">
        <f t="shared" si="3"/>
        <v>4.0268437067287399</v>
      </c>
      <c r="X101" s="4">
        <f t="shared" si="4"/>
        <v>-0.27022045513783516</v>
      </c>
      <c r="Y101" s="4">
        <f t="shared" si="5"/>
        <v>3.5929059168750756E-2</v>
      </c>
    </row>
    <row r="102" spans="22:25" x14ac:dyDescent="0.25">
      <c r="V102">
        <v>10</v>
      </c>
      <c r="W102">
        <f t="shared" si="3"/>
        <v>4</v>
      </c>
      <c r="X102" s="4">
        <f t="shared" si="4"/>
        <v>-0.26666666666666861</v>
      </c>
      <c r="Y102" s="4">
        <f t="shared" si="5"/>
        <v>1.3500456691561637E-2</v>
      </c>
    </row>
    <row r="103" spans="22:25" x14ac:dyDescent="0.25">
      <c r="V103">
        <v>10.1</v>
      </c>
      <c r="W103">
        <f t="shared" si="3"/>
        <v>3.9734019769057483</v>
      </c>
      <c r="X103" s="4">
        <f t="shared" si="4"/>
        <v>-0.26528231630064758</v>
      </c>
      <c r="Y103" s="4">
        <f t="shared" si="5"/>
        <v>1.4189182257065435E-2</v>
      </c>
    </row>
    <row r="104" spans="22:25" x14ac:dyDescent="0.25">
      <c r="V104">
        <v>10.199999999999999</v>
      </c>
      <c r="W104">
        <f t="shared" si="3"/>
        <v>3.9469458585508868</v>
      </c>
      <c r="X104" s="4">
        <f t="shared" si="4"/>
        <v>-0.26382831356214853</v>
      </c>
      <c r="Y104" s="4">
        <f t="shared" si="5"/>
        <v>1.4893406243655658E-2</v>
      </c>
    </row>
    <row r="105" spans="22:25" x14ac:dyDescent="0.25">
      <c r="V105">
        <v>10.3</v>
      </c>
      <c r="W105">
        <f t="shared" si="3"/>
        <v>3.9206386866713636</v>
      </c>
      <c r="X105" s="4">
        <f t="shared" si="4"/>
        <v>-0.26230313855424636</v>
      </c>
      <c r="Y105" s="4">
        <f t="shared" si="5"/>
        <v>1.5612524056250346E-2</v>
      </c>
    </row>
    <row r="106" spans="22:25" x14ac:dyDescent="0.25">
      <c r="V106">
        <v>10.4</v>
      </c>
      <c r="W106">
        <f t="shared" si="3"/>
        <v>3.8944876519137885</v>
      </c>
      <c r="X106" s="4">
        <f t="shared" si="4"/>
        <v>-0.26070533351255587</v>
      </c>
      <c r="Y106" s="4">
        <f t="shared" si="5"/>
        <v>1.6345897985485372E-2</v>
      </c>
    </row>
    <row r="107" spans="22:25" x14ac:dyDescent="0.25">
      <c r="V107">
        <v>10.5</v>
      </c>
      <c r="W107">
        <f t="shared" si="3"/>
        <v>3.8685000874601094</v>
      </c>
      <c r="X107" s="4">
        <f t="shared" si="4"/>
        <v>-0.2590335060115968</v>
      </c>
      <c r="Y107" s="4">
        <f t="shared" si="5"/>
        <v>1.7092859320146297E-2</v>
      </c>
    </row>
    <row r="108" spans="22:25" x14ac:dyDescent="0.25">
      <c r="V108">
        <v>10.6</v>
      </c>
      <c r="W108">
        <f t="shared" si="3"/>
        <v>3.8426834623423005</v>
      </c>
      <c r="X108" s="4">
        <f t="shared" si="4"/>
        <v>-0.25728633195677353</v>
      </c>
      <c r="Y108" s="4">
        <f t="shared" si="5"/>
        <v>1.7852710520360141E-2</v>
      </c>
    </row>
    <row r="109" spans="22:25" x14ac:dyDescent="0.25">
      <c r="V109">
        <v>10.7</v>
      </c>
      <c r="W109">
        <f t="shared" si="3"/>
        <v>3.8170453744688011</v>
      </c>
      <c r="X109" s="4">
        <f t="shared" si="4"/>
        <v>-0.25546255835650689</v>
      </c>
      <c r="Y109" s="4">
        <f t="shared" si="5"/>
        <v>1.8624727439406109E-2</v>
      </c>
    </row>
    <row r="110" spans="22:25" x14ac:dyDescent="0.25">
      <c r="V110">
        <v>10.8</v>
      </c>
      <c r="W110">
        <f t="shared" si="3"/>
        <v>3.7915935433849732</v>
      </c>
      <c r="X110" s="4">
        <f t="shared" si="4"/>
        <v>-0.25356100587024388</v>
      </c>
      <c r="Y110" s="4">
        <f t="shared" si="5"/>
        <v>1.9408161582382219E-2</v>
      </c>
    </row>
    <row r="111" spans="22:25" x14ac:dyDescent="0.25">
      <c r="V111">
        <v>10.9</v>
      </c>
      <c r="W111">
        <f t="shared" si="3"/>
        <v>3.7663358027900138</v>
      </c>
      <c r="X111" s="4">
        <f t="shared" si="4"/>
        <v>-0.25158057112923415</v>
      </c>
      <c r="Y111" s="4">
        <f t="shared" si="5"/>
        <v>2.0202242390390118E-2</v>
      </c>
    </row>
    <row r="112" spans="22:25" x14ac:dyDescent="0.25">
      <c r="V112">
        <v>11</v>
      </c>
      <c r="W112">
        <f t="shared" si="3"/>
        <v>3.7412800928332999</v>
      </c>
      <c r="X112" s="4">
        <f t="shared" si="4"/>
        <v>-0.24952022882806513</v>
      </c>
      <c r="Y112" s="4">
        <f t="shared" si="5"/>
        <v>2.10061795393722E-2</v>
      </c>
    </row>
    <row r="113" spans="22:25" x14ac:dyDescent="0.25">
      <c r="V113">
        <v>11.1</v>
      </c>
      <c r="W113">
        <f t="shared" si="3"/>
        <v>3.716434452213079</v>
      </c>
      <c r="X113" s="4">
        <f t="shared" si="4"/>
        <v>-0.24737903358601609</v>
      </c>
      <c r="Y113" s="4">
        <f t="shared" si="5"/>
        <v>2.1819165243239933E-2</v>
      </c>
    </row>
    <row r="114" spans="22:25" x14ac:dyDescent="0.25">
      <c r="V114">
        <v>11.2</v>
      </c>
      <c r="W114">
        <f t="shared" si="3"/>
        <v>3.6918070101004936</v>
      </c>
      <c r="X114" s="4">
        <f t="shared" si="4"/>
        <v>-0.24515612157829536</v>
      </c>
      <c r="Y114" s="4">
        <f t="shared" si="5"/>
        <v>2.2640376551469464E-2</v>
      </c>
    </row>
    <row r="115" spans="22:25" x14ac:dyDescent="0.25">
      <c r="V115">
        <v>11.3</v>
      </c>
      <c r="W115">
        <f t="shared" si="3"/>
        <v>3.6674059779120078</v>
      </c>
      <c r="X115" s="4">
        <f t="shared" si="4"/>
        <v>-0.24285071193818375</v>
      </c>
      <c r="Y115" s="4">
        <f t="shared" si="5"/>
        <v>2.3468977631899608E-2</v>
      </c>
    </row>
    <row r="116" spans="22:25" x14ac:dyDescent="0.25">
      <c r="V116">
        <v>11.4</v>
      </c>
      <c r="W116">
        <f t="shared" si="3"/>
        <v>3.6432396409529595</v>
      </c>
      <c r="X116" s="4">
        <f t="shared" si="4"/>
        <v>-0.24046210793200284</v>
      </c>
      <c r="Y116" s="4">
        <f t="shared" si="5"/>
        <v>2.4304122030044485E-2</v>
      </c>
    </row>
    <row r="117" spans="22:25" x14ac:dyDescent="0.25">
      <c r="V117">
        <v>11.5</v>
      </c>
      <c r="W117">
        <f t="shared" si="3"/>
        <v>3.6193163499548611</v>
      </c>
      <c r="X117" s="4">
        <f t="shared" si="4"/>
        <v>-0.2379896979096644</v>
      </c>
      <c r="Y117" s="4">
        <f t="shared" si="5"/>
        <v>2.5144954896823196E-2</v>
      </c>
    </row>
    <row r="118" spans="22:25" x14ac:dyDescent="0.25">
      <c r="V118">
        <v>11.6</v>
      </c>
      <c r="W118">
        <f t="shared" si="3"/>
        <v>3.595644512528736</v>
      </c>
      <c r="X118" s="4">
        <f t="shared" si="4"/>
        <v>-0.23543295603434355</v>
      </c>
      <c r="Y118" s="4">
        <f t="shared" si="5"/>
        <v>2.5990615177204517E-2</v>
      </c>
    </row>
    <row r="119" spans="22:25" x14ac:dyDescent="0.25">
      <c r="V119">
        <v>11.7</v>
      </c>
      <c r="W119">
        <f t="shared" si="3"/>
        <v>3.5722325845563851</v>
      </c>
      <c r="X119" s="4">
        <f t="shared" si="4"/>
        <v>-0.23279144279552977</v>
      </c>
      <c r="Y119" s="4">
        <f t="shared" si="5"/>
        <v>2.6840237752865204E-2</v>
      </c>
    </row>
    <row r="120" spans="22:25" x14ac:dyDescent="0.25">
      <c r="V120">
        <v>11.8</v>
      </c>
      <c r="W120">
        <f t="shared" si="3"/>
        <v>3.5490890615408937</v>
      </c>
      <c r="X120" s="4">
        <f t="shared" si="4"/>
        <v>-0.23006480531037721</v>
      </c>
      <c r="Y120" s="4">
        <f t="shared" si="5"/>
        <v>2.7692955532557399E-2</v>
      </c>
    </row>
    <row r="121" spans="22:25" x14ac:dyDescent="0.25">
      <c r="V121">
        <v>11.9</v>
      </c>
      <c r="W121">
        <f t="shared" si="3"/>
        <v>3.5262224699374549</v>
      </c>
      <c r="X121" s="4">
        <f t="shared" si="4"/>
        <v>-0.22725277741887384</v>
      </c>
      <c r="Y121" s="4">
        <f t="shared" si="5"/>
        <v>2.854790148447324E-2</v>
      </c>
    </row>
    <row r="122" spans="22:25" x14ac:dyDescent="0.25">
      <c r="V122">
        <v>12</v>
      </c>
      <c r="W122">
        <f t="shared" si="3"/>
        <v>3.5036413584846713</v>
      </c>
      <c r="X122" s="4">
        <f t="shared" si="4"/>
        <v>-0.22435517957888929</v>
      </c>
      <c r="Y122" s="4">
        <f t="shared" si="5"/>
        <v>2.9404210605479198E-2</v>
      </c>
    </row>
    <row r="123" spans="22:25" x14ac:dyDescent="0.25">
      <c r="V123">
        <v>12.1</v>
      </c>
      <c r="W123">
        <f t="shared" si="3"/>
        <v>3.481354289556112</v>
      </c>
      <c r="X123" s="4">
        <f t="shared" si="4"/>
        <v>-0.22137191856764882</v>
      </c>
      <c r="Y123" s="4">
        <f t="shared" si="5"/>
        <v>3.0261021822663003E-2</v>
      </c>
    </row>
    <row r="124" spans="22:25" x14ac:dyDescent="0.25">
      <c r="V124">
        <v>12.2</v>
      </c>
      <c r="W124">
        <f t="shared" si="3"/>
        <v>3.4593698305511253</v>
      </c>
      <c r="X124" s="4">
        <f t="shared" si="4"/>
        <v>-0.21830298699660522</v>
      </c>
      <c r="Y124" s="4">
        <f t="shared" si="5"/>
        <v>3.1117479823195324E-2</v>
      </c>
    </row>
    <row r="125" spans="22:25" x14ac:dyDescent="0.25">
      <c r="V125">
        <v>12.3</v>
      </c>
      <c r="W125">
        <f t="shared" si="3"/>
        <v>3.4376965453431367</v>
      </c>
      <c r="X125" s="4">
        <f t="shared" si="4"/>
        <v>-0.21514846264705567</v>
      </c>
      <c r="Y125" s="4">
        <f t="shared" si="5"/>
        <v>3.1972736809047386E-2</v>
      </c>
    </row>
    <row r="126" spans="22:25" x14ac:dyDescent="0.25">
      <c r="V126">
        <v>12.4</v>
      </c>
      <c r="W126">
        <f t="shared" si="3"/>
        <v>3.4163429858031051</v>
      </c>
      <c r="X126" s="4">
        <f t="shared" si="4"/>
        <v>-0.21190850763416846</v>
      </c>
      <c r="Y126" s="4">
        <f t="shared" si="5"/>
        <v>3.2825954173628699E-2</v>
      </c>
    </row>
    <row r="127" spans="22:25" x14ac:dyDescent="0.25">
      <c r="V127">
        <v>12.5</v>
      </c>
      <c r="W127">
        <f t="shared" si="3"/>
        <v>3.3953176834147634</v>
      </c>
      <c r="X127" s="4">
        <f t="shared" si="4"/>
        <v>-0.20858336740735239</v>
      </c>
      <c r="Y127" s="4">
        <f t="shared" si="5"/>
        <v>3.3676304097910337E-2</v>
      </c>
    </row>
    <row r="128" spans="22:25" x14ac:dyDescent="0.25">
      <c r="V128">
        <v>12.6</v>
      </c>
      <c r="W128">
        <f t="shared" si="3"/>
        <v>3.3746291409976941</v>
      </c>
      <c r="X128" s="4">
        <f t="shared" si="4"/>
        <v>-0.20517336959512467</v>
      </c>
      <c r="Y128" s="4">
        <f t="shared" si="5"/>
        <v>3.4522971064078541E-2</v>
      </c>
    </row>
    <row r="129" spans="22:25" x14ac:dyDescent="0.25">
      <c r="V129">
        <v>12.7</v>
      </c>
      <c r="W129">
        <f t="shared" si="3"/>
        <v>3.3542858245533544</v>
      </c>
      <c r="X129" s="4">
        <f t="shared" si="4"/>
        <v>-0.20167892270279952</v>
      </c>
      <c r="Y129" s="4">
        <f t="shared" si="5"/>
        <v>3.5365153285220621E-2</v>
      </c>
    </row>
    <row r="130" spans="22:25" x14ac:dyDescent="0.25">
      <c r="V130">
        <v>12.8</v>
      </c>
      <c r="W130">
        <f t="shared" si="3"/>
        <v>3.3342961552483068</v>
      </c>
      <c r="X130" s="4">
        <f t="shared" si="4"/>
        <v>-0.19810051467145418</v>
      </c>
      <c r="Y130" s="4">
        <f t="shared" si="5"/>
        <v>3.6202064049978416E-2</v>
      </c>
    </row>
    <row r="131" spans="22:25" x14ac:dyDescent="0.25">
      <c r="V131">
        <v>12.9</v>
      </c>
      <c r="W131">
        <f t="shared" ref="W131:W194" si="6">cfSab_mat(V131, $B$7:$E$11, $A$4:$E$4)</f>
        <v>3.3146685015481587</v>
      </c>
      <c r="X131" s="4">
        <f t="shared" ref="X131:X194" si="7">c_fSab_mat(V131, $B$7:$E$11, $A$4:$E$4)</f>
        <v>-0.19443871130670887</v>
      </c>
      <c r="Y131" s="4">
        <f t="shared" ref="Y131:Y194" si="8">c__fSab_mat(V131, $B$7:$E$11, $A$4:$E$4)</f>
        <v>3.7032932981513132E-2</v>
      </c>
    </row>
    <row r="132" spans="22:25" x14ac:dyDescent="0.25">
      <c r="V132">
        <v>13</v>
      </c>
      <c r="W132">
        <f t="shared" si="6"/>
        <v>3.2954111715148038</v>
      </c>
      <c r="X132" s="4">
        <f t="shared" si="7"/>
        <v>-0.19069415458590822</v>
      </c>
      <c r="Y132" s="4">
        <f t="shared" si="8"/>
        <v>3.7857007210509303E-2</v>
      </c>
    </row>
    <row r="133" spans="22:25" x14ac:dyDescent="0.25">
      <c r="V133">
        <v>13.1</v>
      </c>
      <c r="W133">
        <f t="shared" si="6"/>
        <v>3.2765324052785942</v>
      </c>
      <c r="X133" s="4">
        <f t="shared" si="7"/>
        <v>-0.1868675608522985</v>
      </c>
      <c r="Y133" s="4">
        <f t="shared" si="8"/>
        <v>3.867355246230518E-2</v>
      </c>
    </row>
    <row r="134" spans="22:25" x14ac:dyDescent="0.25">
      <c r="V134">
        <v>13.2</v>
      </c>
      <c r="W134">
        <f t="shared" si="6"/>
        <v>3.2580403676964309</v>
      </c>
      <c r="X134" s="4">
        <f t="shared" si="7"/>
        <v>-0.18295971890476848</v>
      </c>
      <c r="Y134" s="4">
        <f t="shared" si="8"/>
        <v>3.9481854058570888E-2</v>
      </c>
    </row>
    <row r="135" spans="22:25" x14ac:dyDescent="0.25">
      <c r="V135">
        <v>13.3</v>
      </c>
      <c r="W135">
        <f t="shared" si="6"/>
        <v>3.2399431412057851</v>
      </c>
      <c r="X135" s="4">
        <f t="shared" si="7"/>
        <v>-0.17897148799166596</v>
      </c>
      <c r="Y135" s="4">
        <f t="shared" si="8"/>
        <v>4.0281217834265352E-2</v>
      </c>
    </row>
    <row r="136" spans="22:25" x14ac:dyDescent="0.25">
      <c r="V136">
        <v>13.4</v>
      </c>
      <c r="W136">
        <f t="shared" si="6"/>
        <v>3.2222487188836944</v>
      </c>
      <c r="X136" s="4">
        <f t="shared" si="7"/>
        <v>-0.17490379571711445</v>
      </c>
      <c r="Y136" s="4">
        <f t="shared" si="8"/>
        <v>4.107097097088741E-2</v>
      </c>
    </row>
    <row r="137" spans="22:25" x14ac:dyDescent="0.25">
      <c r="V137">
        <v>13.5</v>
      </c>
      <c r="W137">
        <f t="shared" si="6"/>
        <v>3.2049649977192267</v>
      </c>
      <c r="X137" s="4">
        <f t="shared" si="7"/>
        <v>-0.1707576358681363</v>
      </c>
      <c r="Y137" s="4">
        <f t="shared" si="8"/>
        <v>4.1850462747298402E-2</v>
      </c>
    </row>
    <row r="138" spans="22:25" x14ac:dyDescent="0.25">
      <c r="V138">
        <v>13.6</v>
      </c>
      <c r="W138">
        <f t="shared" si="6"/>
        <v>3.1880997721068347</v>
      </c>
      <c r="X138" s="4">
        <f t="shared" si="7"/>
        <v>-0.16653406617075439</v>
      </c>
      <c r="Y138" s="4">
        <f t="shared" si="8"/>
        <v>4.2619065209629797E-2</v>
      </c>
    </row>
    <row r="139" spans="22:25" x14ac:dyDescent="0.25">
      <c r="V139">
        <v>13.7</v>
      </c>
      <c r="W139">
        <f t="shared" si="6"/>
        <v>3.1716607275672857</v>
      </c>
      <c r="X139" s="4">
        <f t="shared" si="7"/>
        <v>-0.16223420598307614</v>
      </c>
      <c r="Y139" s="4">
        <f t="shared" si="8"/>
        <v>4.3376173762004651E-2</v>
      </c>
    </row>
    <row r="140" spans="22:25" x14ac:dyDescent="0.25">
      <c r="V140">
        <v>13.8</v>
      </c>
      <c r="W140">
        <f t="shared" si="6"/>
        <v>3.1556554347021439</v>
      </c>
      <c r="X140" s="4">
        <f t="shared" si="7"/>
        <v>-0.15785923393318679</v>
      </c>
      <c r="Y140" s="4">
        <f t="shared" si="8"/>
        <v>4.4121207679993411E-2</v>
      </c>
    </row>
    <row r="141" spans="22:25" x14ac:dyDescent="0.25">
      <c r="V141">
        <v>13.9</v>
      </c>
      <c r="W141">
        <f t="shared" si="6"/>
        <v>3.1400913433868958</v>
      </c>
      <c r="X141" s="4">
        <f t="shared" si="7"/>
        <v>-0.15341038550947306</v>
      </c>
      <c r="Y141" s="4">
        <f t="shared" si="8"/>
        <v>4.4853610548895341E-2</v>
      </c>
    </row>
    <row r="142" spans="22:25" x14ac:dyDescent="0.25">
      <c r="V142">
        <v>14</v>
      </c>
      <c r="W142">
        <f t="shared" si="6"/>
        <v>3.1249757772071156</v>
      </c>
      <c r="X142" s="4">
        <f t="shared" si="7"/>
        <v>-0.14888895061078466</v>
      </c>
      <c r="Y142" s="4">
        <f t="shared" si="8"/>
        <v>4.5572850629087315E-2</v>
      </c>
    </row>
    <row r="143" spans="22:25" x14ac:dyDescent="0.25">
      <c r="V143">
        <v>14.1</v>
      </c>
      <c r="W143">
        <f t="shared" si="6"/>
        <v>3.1103159281412687</v>
      </c>
      <c r="X143" s="4">
        <f t="shared" si="7"/>
        <v>-0.14429627106360943</v>
      </c>
      <c r="Y143" s="4">
        <f t="shared" si="8"/>
        <v>4.6278421150811232E-2</v>
      </c>
    </row>
    <row r="144" spans="22:25" x14ac:dyDescent="0.25">
      <c r="V144">
        <v>14.2</v>
      </c>
      <c r="W144">
        <f t="shared" si="6"/>
        <v>3.0961188514932694</v>
      </c>
      <c r="X144" s="4">
        <f t="shared" si="7"/>
        <v>-0.13963373811319446</v>
      </c>
      <c r="Y144" s="4">
        <f t="shared" si="8"/>
        <v>4.6969840540883857E-2</v>
      </c>
    </row>
    <row r="145" spans="22:25" x14ac:dyDescent="0.25">
      <c r="V145">
        <v>14.3</v>
      </c>
      <c r="W145">
        <f t="shared" si="6"/>
        <v>3.0823914610768277</v>
      </c>
      <c r="X145" s="4">
        <f t="shared" si="7"/>
        <v>-0.13490278989529347</v>
      </c>
      <c r="Y145" s="4">
        <f t="shared" si="8"/>
        <v>4.7646652583905304E-2</v>
      </c>
    </row>
    <row r="146" spans="22:25" x14ac:dyDescent="0.25">
      <c r="V146">
        <v>14.4</v>
      </c>
      <c r="W146">
        <f t="shared" si="6"/>
        <v>3.0691405246534025</v>
      </c>
      <c r="X146" s="4">
        <f t="shared" si="7"/>
        <v>-0.13010490889495818</v>
      </c>
      <c r="Y146" s="4">
        <f t="shared" si="8"/>
        <v>4.8308426520619875E-2</v>
      </c>
    </row>
    <row r="147" spans="22:25" x14ac:dyDescent="0.25">
      <c r="V147">
        <v>14.5</v>
      </c>
      <c r="W147">
        <f t="shared" si="6"/>
        <v>3.0563726596246532</v>
      </c>
      <c r="X147" s="4">
        <f t="shared" si="7"/>
        <v>-0.1252416193985223</v>
      </c>
      <c r="Y147" s="4">
        <f t="shared" si="8"/>
        <v>4.8954757086143191E-2</v>
      </c>
    </row>
    <row r="148" spans="22:25" x14ac:dyDescent="0.25">
      <c r="V148">
        <v>14.6</v>
      </c>
      <c r="W148">
        <f t="shared" si="6"/>
        <v>3.0440943289797318</v>
      </c>
      <c r="X148" s="4">
        <f t="shared" si="7"/>
        <v>-0.12031448494465535</v>
      </c>
      <c r="Y148" s="4">
        <f t="shared" si="8"/>
        <v>4.958526449081492E-2</v>
      </c>
    </row>
    <row r="149" spans="22:25" x14ac:dyDescent="0.25">
      <c r="V149">
        <v>14.7</v>
      </c>
      <c r="W149">
        <f t="shared" si="6"/>
        <v>3.0323118374973781</v>
      </c>
      <c r="X149" s="4">
        <f t="shared" si="7"/>
        <v>-0.11532510578008415</v>
      </c>
      <c r="Y149" s="4">
        <f t="shared" si="8"/>
        <v>5.0199594346468215E-2</v>
      </c>
    </row>
    <row r="150" spans="22:25" x14ac:dyDescent="0.25">
      <c r="V150">
        <v>14.8</v>
      </c>
      <c r="W150">
        <f t="shared" si="6"/>
        <v>3.0210313282018895</v>
      </c>
      <c r="X150" s="4">
        <f t="shared" si="7"/>
        <v>-0.11027511632529829</v>
      </c>
      <c r="Y150" s="4">
        <f t="shared" si="8"/>
        <v>5.0797417540925358E-2</v>
      </c>
    </row>
    <row r="151" spans="22:25" x14ac:dyDescent="0.25">
      <c r="V151">
        <v>14.9</v>
      </c>
      <c r="W151">
        <f t="shared" si="6"/>
        <v>3.0102587790718829</v>
      </c>
      <c r="X151" s="4">
        <f t="shared" si="7"/>
        <v>-0.10516618265527855</v>
      </c>
      <c r="Y151" s="4">
        <f t="shared" si="8"/>
        <v>5.1378430063534784E-2</v>
      </c>
    </row>
    <row r="152" spans="22:25" x14ac:dyDescent="0.25">
      <c r="V152">
        <v>15</v>
      </c>
      <c r="W152">
        <f t="shared" si="6"/>
        <v>3.0000000000000204</v>
      </c>
      <c r="X152" s="4">
        <f t="shared" si="7"/>
        <v>-9.999999999999995E-2</v>
      </c>
      <c r="Y152" s="4">
        <f t="shared" si="8"/>
        <v>7.1374716392053981E-3</v>
      </c>
    </row>
    <row r="153" spans="22:25" x14ac:dyDescent="0.25">
      <c r="V153">
        <v>15.1</v>
      </c>
      <c r="W153">
        <f t="shared" si="6"/>
        <v>2.9900355466549109</v>
      </c>
      <c r="X153" s="4">
        <f t="shared" si="7"/>
        <v>-9.9290467930403012E-2</v>
      </c>
      <c r="Y153" s="4">
        <f t="shared" si="8"/>
        <v>7.0534094021903054E-3</v>
      </c>
    </row>
    <row r="154" spans="22:25" x14ac:dyDescent="0.25">
      <c r="V154">
        <v>15.2</v>
      </c>
      <c r="W154">
        <f t="shared" si="6"/>
        <v>2.9801416285885871</v>
      </c>
      <c r="X154" s="4">
        <f t="shared" si="7"/>
        <v>-9.858927072851717E-2</v>
      </c>
      <c r="Y154" s="4">
        <f t="shared" si="8"/>
        <v>6.9707689269122566E-3</v>
      </c>
    </row>
    <row r="155" spans="22:25" x14ac:dyDescent="0.25">
      <c r="V155">
        <v>15.3</v>
      </c>
      <c r="W155">
        <f t="shared" si="6"/>
        <v>2.9703174193698834</v>
      </c>
      <c r="X155" s="4">
        <f t="shared" si="7"/>
        <v>-9.7896267810547111E-2</v>
      </c>
      <c r="Y155" s="4">
        <f t="shared" si="8"/>
        <v>6.8895185152120925E-3</v>
      </c>
    </row>
    <row r="156" spans="22:25" x14ac:dyDescent="0.25">
      <c r="V156">
        <v>15.4</v>
      </c>
      <c r="W156">
        <f t="shared" si="6"/>
        <v>2.9605621064690002</v>
      </c>
      <c r="X156" s="4">
        <f t="shared" si="7"/>
        <v>-9.7211321718194757E-2</v>
      </c>
      <c r="Y156" s="4">
        <f t="shared" si="8"/>
        <v>6.8096273503050631E-3</v>
      </c>
    </row>
    <row r="157" spans="22:25" x14ac:dyDescent="0.25">
      <c r="V157">
        <v>15.5</v>
      </c>
      <c r="W157">
        <f t="shared" si="6"/>
        <v>2.9508748909493212</v>
      </c>
      <c r="X157" s="4">
        <f t="shared" si="7"/>
        <v>-9.653429803200235E-2</v>
      </c>
      <c r="Y157" s="4">
        <f t="shared" si="8"/>
        <v>6.731065467361904E-3</v>
      </c>
    </row>
    <row r="158" spans="22:25" x14ac:dyDescent="0.25">
      <c r="V158">
        <v>15.6</v>
      </c>
      <c r="W158">
        <f t="shared" si="6"/>
        <v>2.9412549871677349</v>
      </c>
      <c r="X158" s="4">
        <f t="shared" si="7"/>
        <v>-9.5865065287579973E-2</v>
      </c>
      <c r="Y158" s="4">
        <f t="shared" si="8"/>
        <v>6.6538037252365937E-3</v>
      </c>
    </row>
    <row r="159" spans="22:25" x14ac:dyDescent="0.25">
      <c r="V159">
        <v>15.7</v>
      </c>
      <c r="W159">
        <f t="shared" si="6"/>
        <v>2.9317016224831969</v>
      </c>
      <c r="X159" s="4">
        <f t="shared" si="7"/>
        <v>-9.5203494894604931E-2</v>
      </c>
      <c r="Y159" s="4">
        <f t="shared" si="8"/>
        <v>6.5778137792895895E-3</v>
      </c>
    </row>
    <row r="160" spans="22:25" x14ac:dyDescent="0.25">
      <c r="V160">
        <v>15.8</v>
      </c>
      <c r="W160">
        <f t="shared" si="6"/>
        <v>2.9222140369732719</v>
      </c>
      <c r="X160" s="4">
        <f t="shared" si="7"/>
        <v>-9.4549461058486176E-2</v>
      </c>
      <c r="Y160" s="4">
        <f t="shared" si="8"/>
        <v>6.5030680552580506E-3</v>
      </c>
    </row>
    <row r="161" spans="22:25" x14ac:dyDescent="0.25">
      <c r="V161">
        <v>15.9</v>
      </c>
      <c r="W161">
        <f t="shared" si="6"/>
        <v>2.9127914831583652</v>
      </c>
      <c r="X161" s="4">
        <f t="shared" si="7"/>
        <v>-9.3902840704591081E-2</v>
      </c>
      <c r="Y161" s="4">
        <f t="shared" si="8"/>
        <v>6.4295397241269075E-3</v>
      </c>
    </row>
    <row r="162" spans="22:25" x14ac:dyDescent="0.25">
      <c r="V162">
        <v>16</v>
      </c>
      <c r="W162">
        <f t="shared" si="6"/>
        <v>2.9034332257334081</v>
      </c>
      <c r="X162" s="4">
        <f t="shared" si="7"/>
        <v>-9.3263513404937298E-2</v>
      </c>
      <c r="Y162" s="4">
        <f t="shared" si="8"/>
        <v>6.3572026779569147E-3</v>
      </c>
    </row>
    <row r="163" spans="22:25" x14ac:dyDescent="0.25">
      <c r="V163">
        <v>16.100000000000001</v>
      </c>
      <c r="W163">
        <f t="shared" si="6"/>
        <v>2.8941385413067646</v>
      </c>
      <c r="X163" s="4">
        <f t="shared" si="7"/>
        <v>-9.2631361307255342E-2</v>
      </c>
      <c r="Y163" s="4">
        <f t="shared" si="8"/>
        <v>6.2860315066280729E-3</v>
      </c>
    </row>
    <row r="164" spans="22:25" x14ac:dyDescent="0.25">
      <c r="V164">
        <v>16.2</v>
      </c>
      <c r="W164">
        <f t="shared" si="6"/>
        <v>2.8849067181461101</v>
      </c>
      <c r="X164" s="4">
        <f t="shared" si="7"/>
        <v>-9.2006269066332816E-2</v>
      </c>
      <c r="Y164" s="4">
        <f t="shared" si="8"/>
        <v>6.2160014754587076E-3</v>
      </c>
    </row>
    <row r="165" spans="22:25" x14ac:dyDescent="0.25">
      <c r="V165">
        <v>16.3</v>
      </c>
      <c r="W165">
        <f t="shared" si="6"/>
        <v>2.875737055931066</v>
      </c>
      <c r="X165" s="4">
        <f t="shared" si="7"/>
        <v>-9.1388123777554536E-2</v>
      </c>
      <c r="Y165" s="4">
        <f t="shared" si="8"/>
        <v>6.1470885036625537E-3</v>
      </c>
    </row>
    <row r="166" spans="22:25" x14ac:dyDescent="0.25">
      <c r="V166">
        <v>16.399999999999999</v>
      </c>
      <c r="W166">
        <f t="shared" si="6"/>
        <v>2.8666288655123773</v>
      </c>
      <c r="X166" s="4">
        <f t="shared" si="7"/>
        <v>-9.0776814912556819E-2</v>
      </c>
      <c r="Y166" s="4">
        <f t="shared" si="8"/>
        <v>6.0792691436079805E-3</v>
      </c>
    </row>
    <row r="167" spans="22:25" x14ac:dyDescent="0.25">
      <c r="V167">
        <v>16.5</v>
      </c>
      <c r="W167">
        <f t="shared" si="6"/>
        <v>2.857581468677413</v>
      </c>
      <c r="X167" s="4">
        <f t="shared" si="7"/>
        <v>-9.017223425691645E-2</v>
      </c>
      <c r="Y167" s="4">
        <f t="shared" si="8"/>
        <v>6.0125205608451077E-3</v>
      </c>
    </row>
    <row r="168" spans="22:25" x14ac:dyDescent="0.25">
      <c r="V168">
        <v>16.600000000000001</v>
      </c>
      <c r="W168">
        <f t="shared" si="6"/>
        <v>2.8485941979218161</v>
      </c>
      <c r="X168" s="4">
        <f t="shared" si="7"/>
        <v>-8.9574275849800822E-2</v>
      </c>
      <c r="Y168" s="4">
        <f t="shared" si="8"/>
        <v>5.9468205148684606E-3</v>
      </c>
    </row>
    <row r="169" spans="22:25" x14ac:dyDescent="0.25">
      <c r="V169">
        <v>16.7</v>
      </c>
      <c r="W169">
        <f t="shared" si="6"/>
        <v>2.8396663962270701</v>
      </c>
      <c r="X169" s="4">
        <f t="shared" si="7"/>
        <v>-8.8982835925505752E-2</v>
      </c>
      <c r="Y169" s="4">
        <f t="shared" si="8"/>
        <v>5.8821473405840478E-3</v>
      </c>
    </row>
    <row r="170" spans="22:25" x14ac:dyDescent="0.25">
      <c r="V170">
        <v>16.8</v>
      </c>
      <c r="W170">
        <f t="shared" si="6"/>
        <v>2.8307974168438426</v>
      </c>
      <c r="X170" s="4">
        <f t="shared" si="7"/>
        <v>-8.8397812856812585E-2</v>
      </c>
      <c r="Y170" s="4">
        <f t="shared" si="8"/>
        <v>5.8184799304514395E-3</v>
      </c>
    </row>
    <row r="171" spans="22:25" x14ac:dyDescent="0.25">
      <c r="V171">
        <v>16.899999999999999</v>
      </c>
      <c r="W171">
        <f t="shared" si="6"/>
        <v>2.821986623080897</v>
      </c>
      <c r="X171" s="4">
        <f t="shared" si="7"/>
        <v>-8.7819107100098867E-2</v>
      </c>
      <c r="Y171" s="4">
        <f t="shared" si="8"/>
        <v>5.7557977172727542E-3</v>
      </c>
    </row>
    <row r="172" spans="22:25" x14ac:dyDescent="0.25">
      <c r="V172">
        <v>17</v>
      </c>
      <c r="W172">
        <f t="shared" si="6"/>
        <v>2.8132333880993965</v>
      </c>
      <c r="X172" s="4">
        <f t="shared" si="7"/>
        <v>-8.7246621142138533E-2</v>
      </c>
      <c r="Y172" s="4">
        <f t="shared" si="8"/>
        <v>5.6940806576016847E-3</v>
      </c>
    </row>
    <row r="173" spans="22:25" x14ac:dyDescent="0.25">
      <c r="V173">
        <v>17.100000000000001</v>
      </c>
      <c r="W173">
        <f t="shared" si="6"/>
        <v>2.8045370947124661</v>
      </c>
      <c r="X173" s="4">
        <f t="shared" si="7"/>
        <v>-8.6680259448531569E-2</v>
      </c>
      <c r="Y173" s="4">
        <f t="shared" si="8"/>
        <v>5.6333092157471246E-3</v>
      </c>
    </row>
    <row r="174" spans="22:25" x14ac:dyDescent="0.25">
      <c r="V174">
        <v>17.2</v>
      </c>
      <c r="W174">
        <f t="shared" si="6"/>
        <v>2.7958971351898194</v>
      </c>
      <c r="X174" s="4">
        <f t="shared" si="7"/>
        <v>-8.6119928413704416E-2</v>
      </c>
      <c r="Y174" s="4">
        <f t="shared" si="8"/>
        <v>5.5734643483469348E-3</v>
      </c>
    </row>
    <row r="175" spans="22:25" x14ac:dyDescent="0.25">
      <c r="V175">
        <v>17.3</v>
      </c>
      <c r="W175">
        <f t="shared" si="6"/>
        <v>2.7873129110673114</v>
      </c>
      <c r="X175" s="4">
        <f t="shared" si="7"/>
        <v>-8.5565536312425292E-2</v>
      </c>
      <c r="Y175" s="4">
        <f t="shared" si="8"/>
        <v>5.5145274894886796E-3</v>
      </c>
    </row>
    <row r="176" spans="22:25" x14ac:dyDescent="0.25">
      <c r="V176">
        <v>17.399999999999999</v>
      </c>
      <c r="W176">
        <f t="shared" si="6"/>
        <v>2.7787838329612673</v>
      </c>
      <c r="X176" s="4">
        <f t="shared" si="7"/>
        <v>-8.5016993252781614E-2</v>
      </c>
      <c r="Y176" s="4">
        <f t="shared" si="8"/>
        <v>5.4564805363551579E-3</v>
      </c>
    </row>
    <row r="177" spans="22:25" x14ac:dyDescent="0.25">
      <c r="V177">
        <v>17.5</v>
      </c>
      <c r="W177">
        <f t="shared" si="6"/>
        <v>2.7703093203874429</v>
      </c>
      <c r="X177" s="4">
        <f t="shared" si="7"/>
        <v>-8.4474211130566787E-2</v>
      </c>
      <c r="Y177" s="4">
        <f t="shared" si="8"/>
        <v>5.3993058353735178E-3</v>
      </c>
    </row>
    <row r="178" spans="22:25" x14ac:dyDescent="0.25">
      <c r="V178">
        <v>17.600000000000001</v>
      </c>
      <c r="W178">
        <f t="shared" si="6"/>
        <v>2.7618888015844858</v>
      </c>
      <c r="X178" s="4">
        <f t="shared" si="7"/>
        <v>-8.3937103585028261E-2</v>
      </c>
      <c r="Y178" s="4">
        <f t="shared" si="8"/>
        <v>5.342986168847823E-3</v>
      </c>
    </row>
    <row r="179" spans="22:25" x14ac:dyDescent="0.25">
      <c r="V179">
        <v>17.7</v>
      </c>
      <c r="W179">
        <f t="shared" si="6"/>
        <v>2.7535217133417333</v>
      </c>
      <c r="X179" s="4">
        <f t="shared" si="7"/>
        <v>-8.340558595592884E-2</v>
      </c>
      <c r="Y179" s="4">
        <f t="shared" si="8"/>
        <v>5.2875047420557486E-3</v>
      </c>
    </row>
    <row r="180" spans="22:25" x14ac:dyDescent="0.25">
      <c r="V180">
        <v>17.8</v>
      </c>
      <c r="W180">
        <f t="shared" si="6"/>
        <v>2.7452075008312633</v>
      </c>
      <c r="X180" s="4">
        <f t="shared" si="7"/>
        <v>-8.2879575241875586E-2</v>
      </c>
      <c r="Y180" s="4">
        <f t="shared" si="8"/>
        <v>5.2328451707909524E-3</v>
      </c>
    </row>
    <row r="181" spans="22:25" x14ac:dyDescent="0.25">
      <c r="V181">
        <v>17.899999999999999</v>
      </c>
      <c r="W181">
        <f t="shared" si="6"/>
        <v>2.7369456174440452</v>
      </c>
      <c r="X181" s="4">
        <f t="shared" si="7"/>
        <v>-8.2358990059873544E-2</v>
      </c>
      <c r="Y181" s="4">
        <f t="shared" si="8"/>
        <v>5.1789914693336084E-3</v>
      </c>
    </row>
    <row r="182" spans="22:25" x14ac:dyDescent="0.25">
      <c r="V182">
        <v>18</v>
      </c>
      <c r="W182">
        <f t="shared" si="6"/>
        <v>2.7287355246300606</v>
      </c>
      <c r="X182" s="4">
        <f t="shared" si="7"/>
        <v>-8.1843750606061014E-2</v>
      </c>
      <c r="Y182" s="4">
        <f t="shared" si="8"/>
        <v>5.1259280388321841E-3</v>
      </c>
    </row>
    <row r="183" spans="22:25" x14ac:dyDescent="0.25">
      <c r="V183">
        <v>18.100000000000001</v>
      </c>
      <c r="W183">
        <f t="shared" si="6"/>
        <v>2.7205766917423251</v>
      </c>
      <c r="X183" s="4">
        <f t="shared" si="7"/>
        <v>-8.1333778617587379E-2</v>
      </c>
      <c r="Y183" s="4">
        <f t="shared" si="8"/>
        <v>5.0736396560804664E-3</v>
      </c>
    </row>
    <row r="184" spans="22:25" x14ac:dyDescent="0.25">
      <c r="V184">
        <v>18.2</v>
      </c>
      <c r="W184">
        <f t="shared" si="6"/>
        <v>2.712468595884626</v>
      </c>
      <c r="X184" s="4">
        <f t="shared" si="7"/>
        <v>-8.0828997335593719E-2</v>
      </c>
      <c r="Y184" s="4">
        <f t="shared" si="8"/>
        <v>5.0221114626744249E-3</v>
      </c>
    </row>
    <row r="185" spans="22:25" x14ac:dyDescent="0.25">
      <c r="V185">
        <v>18.3</v>
      </c>
      <c r="W185">
        <f t="shared" si="6"/>
        <v>2.7044107217629429</v>
      </c>
      <c r="X185" s="4">
        <f t="shared" si="7"/>
        <v>-8.0329331469259371E-2</v>
      </c>
      <c r="Y185" s="4">
        <f t="shared" si="8"/>
        <v>4.9713289545342178E-3</v>
      </c>
    </row>
    <row r="186" spans="22:25" x14ac:dyDescent="0.25">
      <c r="V186">
        <v>18.399999999999999</v>
      </c>
      <c r="W186">
        <f t="shared" si="6"/>
        <v>2.6964025615403964</v>
      </c>
      <c r="X186" s="4">
        <f t="shared" si="7"/>
        <v>-7.9834707160878954E-2</v>
      </c>
      <c r="Y186" s="4">
        <f t="shared" si="8"/>
        <v>4.9212779717773226E-3</v>
      </c>
    </row>
    <row r="187" spans="22:25" x14ac:dyDescent="0.25">
      <c r="V187">
        <v>18.5</v>
      </c>
      <c r="W187">
        <f t="shared" si="6"/>
        <v>2.6884436146956379</v>
      </c>
      <c r="X187" s="4">
        <f t="shared" si="7"/>
        <v>-7.9345051951934614E-2</v>
      </c>
      <c r="Y187" s="4">
        <f t="shared" si="8"/>
        <v>4.8719446889292839E-3</v>
      </c>
    </row>
    <row r="188" spans="22:25" x14ac:dyDescent="0.25">
      <c r="V188">
        <v>18.600000000000001</v>
      </c>
      <c r="W188">
        <f t="shared" si="6"/>
        <v>2.6805333878845872</v>
      </c>
      <c r="X188" s="4">
        <f t="shared" si="7"/>
        <v>-7.8860294750131288E-2</v>
      </c>
      <c r="Y188" s="4">
        <f t="shared" si="8"/>
        <v>4.8233156054592764E-3</v>
      </c>
    </row>
    <row r="189" spans="22:25" x14ac:dyDescent="0.25">
      <c r="V189">
        <v>18.7</v>
      </c>
      <c r="W189">
        <f t="shared" si="6"/>
        <v>2.672671394805425</v>
      </c>
      <c r="X189" s="4">
        <f t="shared" si="7"/>
        <v>-7.8380365797362503E-2</v>
      </c>
      <c r="Y189" s="4">
        <f t="shared" si="8"/>
        <v>4.7753775366281082E-3</v>
      </c>
    </row>
    <row r="190" spans="22:25" x14ac:dyDescent="0.25">
      <c r="V190">
        <v>18.8</v>
      </c>
      <c r="W190">
        <f t="shared" si="6"/>
        <v>2.6648571560667289</v>
      </c>
      <c r="X190" s="4">
        <f t="shared" si="7"/>
        <v>-7.7905196638575869E-2</v>
      </c>
      <c r="Y190" s="4">
        <f t="shared" si="8"/>
        <v>4.7281176046369026E-3</v>
      </c>
    </row>
    <row r="191" spans="22:25" x14ac:dyDescent="0.25">
      <c r="V191">
        <v>18.899999999999999</v>
      </c>
      <c r="W191">
        <f t="shared" si="6"/>
        <v>2.6570901990586995</v>
      </c>
      <c r="X191" s="4">
        <f t="shared" si="7"/>
        <v>-7.743472009151009E-2</v>
      </c>
      <c r="Y191" s="4">
        <f t="shared" si="8"/>
        <v>4.6815232300651925E-3</v>
      </c>
    </row>
    <row r="192" spans="22:25" x14ac:dyDescent="0.25">
      <c r="V192">
        <v>19</v>
      </c>
      <c r="W192">
        <f t="shared" si="6"/>
        <v>2.6493700578273502</v>
      </c>
      <c r="X192" s="4">
        <f t="shared" si="7"/>
        <v>-7.6968870217273083E-2</v>
      </c>
      <c r="Y192" s="4">
        <f t="shared" si="8"/>
        <v>4.635582123587537E-3</v>
      </c>
    </row>
    <row r="193" spans="22:25" x14ac:dyDescent="0.25">
      <c r="V193">
        <v>19.100000000000001</v>
      </c>
      <c r="W193">
        <f t="shared" si="6"/>
        <v>2.6416962729516076</v>
      </c>
      <c r="X193" s="4">
        <f t="shared" si="7"/>
        <v>-7.6507582291735696E-2</v>
      </c>
      <c r="Y193" s="4">
        <f t="shared" si="8"/>
        <v>4.5902822779583996E-3</v>
      </c>
    </row>
    <row r="194" spans="22:25" x14ac:dyDescent="0.25">
      <c r="V194">
        <v>19.2</v>
      </c>
      <c r="W194">
        <f t="shared" si="6"/>
        <v>2.6340683914232406</v>
      </c>
      <c r="X194" s="4">
        <f t="shared" si="7"/>
        <v>-7.6050792777713608E-2</v>
      </c>
      <c r="Y194" s="4">
        <f t="shared" si="8"/>
        <v>4.5456119602552882E-3</v>
      </c>
    </row>
    <row r="195" spans="22:25" x14ac:dyDescent="0.25">
      <c r="V195">
        <v>19.3</v>
      </c>
      <c r="W195">
        <f t="shared" ref="W195:W232" si="9">cfSab_mat(V195, $B$7:$E$11, $A$4:$E$4)</f>
        <v>2.6264859665295148</v>
      </c>
      <c r="X195" s="4">
        <f t="shared" ref="X195:X202" si="10">c_fSab_mat(V195, $B$7:$E$11, $A$4:$E$4)</f>
        <v>-7.5598439297912406E-2</v>
      </c>
      <c r="Y195" s="4">
        <f t="shared" ref="Y195:Y202" si="11">c__fSab_mat(V195, $B$7:$E$11, $A$4:$E$4)</f>
        <v>4.5015597043706621E-3</v>
      </c>
    </row>
    <row r="196" spans="22:25" x14ac:dyDescent="0.25">
      <c r="V196">
        <v>19.399999999999999</v>
      </c>
      <c r="W196">
        <f t="shared" si="9"/>
        <v>2.6189485577385394</v>
      </c>
      <c r="X196" s="4">
        <f t="shared" si="10"/>
        <v>-7.5150460608611483E-2</v>
      </c>
      <c r="Y196" s="4">
        <f t="shared" si="11"/>
        <v>4.4581143037435208E-3</v>
      </c>
    </row>
    <row r="197" spans="22:25" x14ac:dyDescent="0.25">
      <c r="V197">
        <v>19.5</v>
      </c>
      <c r="W197">
        <f t="shared" si="9"/>
        <v>2.6114557305871733</v>
      </c>
      <c r="X197" s="4">
        <f t="shared" si="10"/>
        <v>-7.4706796574063122E-2</v>
      </c>
      <c r="Y197" s="4">
        <f t="shared" si="11"/>
        <v>4.4152648043218759E-3</v>
      </c>
    </row>
    <row r="198" spans="22:25" x14ac:dyDescent="0.25">
      <c r="V198">
        <v>19.600000000000001</v>
      </c>
      <c r="W198">
        <f t="shared" si="9"/>
        <v>2.6040070565715001</v>
      </c>
      <c r="X198" s="4">
        <f t="shared" si="10"/>
        <v>-7.4267388141584442E-2</v>
      </c>
      <c r="Y198" s="4">
        <f t="shared" si="11"/>
        <v>4.3730004977478015E-3</v>
      </c>
    </row>
    <row r="199" spans="22:25" x14ac:dyDescent="0.25">
      <c r="V199">
        <v>19.7</v>
      </c>
      <c r="W199">
        <f t="shared" si="9"/>
        <v>2.596602113039733</v>
      </c>
      <c r="X199" s="4">
        <f t="shared" si="10"/>
        <v>-7.3832177317319336E-2</v>
      </c>
      <c r="Y199" s="4">
        <f t="shared" si="11"/>
        <v>4.3313109147569097E-3</v>
      </c>
    </row>
    <row r="200" spans="22:25" x14ac:dyDescent="0.25">
      <c r="V200">
        <v>19.8</v>
      </c>
      <c r="W200">
        <f t="shared" si="9"/>
        <v>2.589240483087508</v>
      </c>
      <c r="X200" s="4">
        <f t="shared" si="10"/>
        <v>-7.3401107142650759E-2</v>
      </c>
      <c r="Y200" s="4">
        <f t="shared" si="11"/>
        <v>4.2901858187846479E-3</v>
      </c>
    </row>
    <row r="201" spans="22:25" x14ac:dyDescent="0.25">
      <c r="V201">
        <v>19.899999999999999</v>
      </c>
      <c r="W201">
        <f t="shared" si="9"/>
        <v>2.5819217554555269</v>
      </c>
      <c r="X201" s="4">
        <f t="shared" si="10"/>
        <v>-7.2974121671242051E-2</v>
      </c>
      <c r="Y201" s="4">
        <f t="shared" si="11"/>
        <v>4.2496151997719602E-3</v>
      </c>
    </row>
    <row r="202" spans="22:25" x14ac:dyDescent="0.25">
      <c r="V202">
        <v>20</v>
      </c>
      <c r="W202">
        <f t="shared" si="9"/>
        <v>2.5746455244294406</v>
      </c>
      <c r="X202" s="4">
        <f t="shared" si="10"/>
        <v>-7.2551165946688076E-2</v>
      </c>
      <c r="Y202" s="4">
        <f t="shared" si="11"/>
        <v>4.2095892681632023E-3</v>
      </c>
    </row>
    <row r="203" spans="22:25" x14ac:dyDescent="0.25">
      <c r="V203">
        <v>20.100000000000001</v>
      </c>
      <c r="W203">
        <f t="shared" si="9"/>
        <v>2.567411389741955</v>
      </c>
      <c r="X203" s="4">
        <f t="shared" ref="X203:X216" si="12">c_fSab_mat(V203, $B$7:$E$11, $A$4:$E$4)</f>
        <v>-7.2132185980757157E-2</v>
      </c>
      <c r="Y203" s="4">
        <f t="shared" ref="Y203:Y216" si="13">c__fSab_mat(V203, $B$7:$E$11, $A$4:$E$4)</f>
        <v>4.1700984490895213E-3</v>
      </c>
    </row>
    <row r="204" spans="22:25" x14ac:dyDescent="0.25">
      <c r="V204">
        <v>20.2</v>
      </c>
      <c r="W204">
        <f t="shared" si="9"/>
        <v>2.5602189564770712</v>
      </c>
      <c r="X204" s="4">
        <f t="shared" si="12"/>
        <v>-7.171712873220587E-2</v>
      </c>
      <c r="Y204" s="4">
        <f t="shared" si="13"/>
        <v>4.131133376731131E-3</v>
      </c>
    </row>
    <row r="205" spans="22:25" x14ac:dyDescent="0.25">
      <c r="V205">
        <v>20.3</v>
      </c>
      <c r="W205">
        <f t="shared" si="9"/>
        <v>2.5530678349764369</v>
      </c>
      <c r="X205" s="4">
        <f t="shared" si="12"/>
        <v>-7.1305942086148599E-2</v>
      </c>
      <c r="Y205" s="4">
        <f t="shared" si="13"/>
        <v>4.0926848888521907E-3</v>
      </c>
    </row>
    <row r="206" spans="22:25" x14ac:dyDescent="0.25">
      <c r="V206">
        <v>20.399999999999999</v>
      </c>
      <c r="W206">
        <f t="shared" si="9"/>
        <v>2.545957640747698</v>
      </c>
      <c r="X206" s="4">
        <f t="shared" si="12"/>
        <v>-7.0898574833965708E-2</v>
      </c>
      <c r="Y206" s="4">
        <f t="shared" si="13"/>
        <v>4.0547440215022842E-3</v>
      </c>
    </row>
    <row r="207" spans="22:25" x14ac:dyDescent="0.25">
      <c r="V207">
        <v>20.5</v>
      </c>
      <c r="W207">
        <f t="shared" si="9"/>
        <v>2.5388879943748757</v>
      </c>
      <c r="X207" s="4">
        <f t="shared" si="12"/>
        <v>-7.0494976653732971E-2</v>
      </c>
      <c r="Y207" s="4">
        <f t="shared" si="13"/>
        <v>4.017302003878646E-3</v>
      </c>
    </row>
    <row r="208" spans="22:25" x14ac:dyDescent="0.25">
      <c r="V208">
        <v>20.6</v>
      </c>
      <c r="W208">
        <f t="shared" si="9"/>
        <v>2.5318585214306402</v>
      </c>
      <c r="X208" s="4">
        <f t="shared" si="12"/>
        <v>-7.0095098091157354E-2</v>
      </c>
      <c r="Y208" s="4">
        <f t="shared" si="13"/>
        <v>3.9803502533436071E-3</v>
      </c>
    </row>
    <row r="209" spans="22:25" x14ac:dyDescent="0.25">
      <c r="V209">
        <v>20.7</v>
      </c>
      <c r="W209">
        <f t="shared" si="9"/>
        <v>2.5248688523904868</v>
      </c>
      <c r="X209" s="4">
        <f t="shared" si="12"/>
        <v>-6.9698890541003283E-2</v>
      </c>
      <c r="Y209" s="4">
        <f t="shared" si="13"/>
        <v>3.9438803705918709E-3</v>
      </c>
    </row>
    <row r="210" spans="22:25" x14ac:dyDescent="0.25">
      <c r="V210">
        <v>20.8</v>
      </c>
      <c r="W210">
        <f t="shared" si="9"/>
        <v>2.5179186225487387</v>
      </c>
      <c r="X210" s="4">
        <f t="shared" si="12"/>
        <v>-6.9306306228994988E-2</v>
      </c>
      <c r="Y210" s="4">
        <f t="shared" si="13"/>
        <v>3.9078841349624886E-3</v>
      </c>
    </row>
    <row r="211" spans="22:25" x14ac:dyDescent="0.25">
      <c r="V211">
        <v>20.9</v>
      </c>
      <c r="W211">
        <f t="shared" si="9"/>
        <v>2.5110074719363329</v>
      </c>
      <c r="X211" s="4">
        <f t="shared" si="12"/>
        <v>-6.8917298194180729E-2</v>
      </c>
      <c r="Y211" s="4">
        <f t="shared" si="13"/>
        <v>3.8723534998905897E-3</v>
      </c>
    </row>
    <row r="212" spans="22:25" x14ac:dyDescent="0.25">
      <c r="V212">
        <v>21</v>
      </c>
      <c r="W212">
        <f t="shared" si="9"/>
        <v>2.5041350452403561</v>
      </c>
      <c r="X212" s="4">
        <f t="shared" si="12"/>
        <v>-6.8531820271744801E-2</v>
      </c>
      <c r="Y212" s="4">
        <f t="shared" si="13"/>
        <v>3.8372805884940723E-3</v>
      </c>
    </row>
    <row r="213" spans="22:25" x14ac:dyDescent="0.25">
      <c r="V213">
        <v>21.1</v>
      </c>
      <c r="W213">
        <f t="shared" si="9"/>
        <v>2.4973009917252664</v>
      </c>
      <c r="X213" s="4">
        <f t="shared" si="12"/>
        <v>-6.8149827076254596E-2</v>
      </c>
      <c r="Y213" s="4">
        <f t="shared" si="13"/>
        <v>3.8026576892907335E-3</v>
      </c>
    </row>
    <row r="214" spans="22:25" x14ac:dyDescent="0.25">
      <c r="V214">
        <v>21.2</v>
      </c>
      <c r="W214">
        <f t="shared" si="9"/>
        <v>2.4905049651557825</v>
      </c>
      <c r="X214" s="4">
        <f t="shared" si="12"/>
        <v>-6.7771273985329505E-2</v>
      </c>
      <c r="Y214" s="4">
        <f t="shared" si="13"/>
        <v>3.7684772520413844E-3</v>
      </c>
    </row>
    <row r="215" spans="22:25" x14ac:dyDescent="0.25">
      <c r="V215">
        <v>21.3</v>
      </c>
      <c r="W215">
        <f t="shared" si="9"/>
        <v>2.4837466237213697</v>
      </c>
      <c r="X215" s="4">
        <f t="shared" si="12"/>
        <v>-6.7396117123719207E-2</v>
      </c>
      <c r="Y215" s="4">
        <f t="shared" si="13"/>
        <v>3.7347318837147358E-3</v>
      </c>
    </row>
    <row r="216" spans="22:25" x14ac:dyDescent="0.25">
      <c r="V216">
        <v>21.4</v>
      </c>
      <c r="W216">
        <f t="shared" si="9"/>
        <v>2.4770256299623123</v>
      </c>
      <c r="X216" s="4">
        <f t="shared" si="12"/>
        <v>-6.702431334777989E-2</v>
      </c>
      <c r="Y216" s="4">
        <f t="shared" si="13"/>
        <v>3.7014143445700015E-3</v>
      </c>
    </row>
    <row r="217" spans="22:25" x14ac:dyDescent="0.25">
      <c r="V217">
        <v>21.5</v>
      </c>
      <c r="W217">
        <f t="shared" si="9"/>
        <v>2.4703416506973097</v>
      </c>
      <c r="X217" s="4">
        <f t="shared" ref="X217:X222" si="14">c_fSab_mat(V217, $B$7:$E$11, $A$4:$E$4)</f>
        <v>-6.6655820230336255E-2</v>
      </c>
      <c r="Y217" s="4">
        <f t="shared" ref="Y217:Y222" si="15">c__fSab_mat(V217, $B$7:$E$11, $A$4:$E$4)</f>
        <v>3.6685175443532426E-3</v>
      </c>
    </row>
    <row r="218" spans="22:25" x14ac:dyDescent="0.25">
      <c r="V218">
        <v>21.6</v>
      </c>
      <c r="W218">
        <f t="shared" si="9"/>
        <v>2.4636943569525744</v>
      </c>
      <c r="X218" s="4">
        <f t="shared" si="14"/>
        <v>-6.6290596045918332E-2</v>
      </c>
      <c r="Y218" s="4">
        <f t="shared" si="15"/>
        <v>3.6360345386037439E-3</v>
      </c>
    </row>
    <row r="219" spans="22:25" x14ac:dyDescent="0.25">
      <c r="V219">
        <v>21.7</v>
      </c>
      <c r="W219">
        <f t="shared" si="9"/>
        <v>2.4570834238923789</v>
      </c>
      <c r="X219" s="4">
        <f t="shared" si="14"/>
        <v>-6.5928599756362574E-2</v>
      </c>
      <c r="Y219" s="4">
        <f t="shared" si="15"/>
        <v>3.6039585250667314E-3</v>
      </c>
    </row>
    <row r="220" spans="22:25" x14ac:dyDescent="0.25">
      <c r="V220">
        <v>21.8</v>
      </c>
      <c r="W220">
        <f t="shared" si="9"/>
        <v>2.4505085307510361</v>
      </c>
      <c r="X220" s="4">
        <f t="shared" si="14"/>
        <v>-6.5569790996766034E-2</v>
      </c>
      <c r="Y220" s="4">
        <f t="shared" si="15"/>
        <v>3.5722828402089584E-3</v>
      </c>
    </row>
    <row r="221" spans="22:25" x14ac:dyDescent="0.25">
      <c r="V221">
        <v>21.9</v>
      </c>
      <c r="W221">
        <f t="shared" si="9"/>
        <v>2.4439693607662569</v>
      </c>
      <c r="X221" s="4">
        <f t="shared" si="14"/>
        <v>-6.5214130061784698E-2</v>
      </c>
      <c r="Y221" s="4">
        <f t="shared" si="15"/>
        <v>3.5410009558338121E-3</v>
      </c>
    </row>
    <row r="222" spans="22:25" x14ac:dyDescent="0.25">
      <c r="V222">
        <v>22</v>
      </c>
      <c r="W222">
        <f t="shared" si="9"/>
        <v>2.4374656011138676</v>
      </c>
      <c r="X222" s="4">
        <f t="shared" si="14"/>
        <v>-6.4861577892264627E-2</v>
      </c>
      <c r="Y222" s="4">
        <f t="shared" si="15"/>
        <v>3.510106475792636E-3</v>
      </c>
    </row>
    <row r="223" spans="22:25" x14ac:dyDescent="0.25">
      <c r="V223">
        <v>22.1</v>
      </c>
      <c r="W223">
        <f t="shared" si="9"/>
        <v>2.4309969428438456</v>
      </c>
      <c r="X223" s="4">
        <f t="shared" ref="X223:X232" si="16">c_fSab_mat(V223, $B$7:$E$11, $A$4:$E$4)</f>
        <v>-6.4512096062197932E-2</v>
      </c>
      <c r="Y223" s="4">
        <f t="shared" ref="Y223:Y232" si="17">c__fSab_mat(V223, $B$7:$E$11, $A$4:$E$4)</f>
        <v>3.4795931327892037E-3</v>
      </c>
    </row>
    <row r="224" spans="22:25" x14ac:dyDescent="0.25">
      <c r="V224">
        <v>22.2</v>
      </c>
      <c r="W224">
        <f t="shared" si="9"/>
        <v>2.4245630808176406</v>
      </c>
      <c r="X224" s="4">
        <f t="shared" si="16"/>
        <v>-6.4165646765993553E-2</v>
      </c>
      <c r="Y224" s="4">
        <f t="shared" si="17"/>
        <v>3.4494547852742968E-3</v>
      </c>
    </row>
    <row r="225" spans="22:25" x14ac:dyDescent="0.25">
      <c r="V225">
        <v>22.3</v>
      </c>
      <c r="W225">
        <f t="shared" si="9"/>
        <v>2.4181637136467655</v>
      </c>
      <c r="X225" s="4">
        <f t="shared" si="16"/>
        <v>-6.3822192806053932E-2</v>
      </c>
      <c r="Y225" s="4">
        <f t="shared" si="17"/>
        <v>3.419685414427481E-3</v>
      </c>
    </row>
    <row r="226" spans="22:25" x14ac:dyDescent="0.25">
      <c r="V226">
        <v>22.4</v>
      </c>
      <c r="W226">
        <f t="shared" si="9"/>
        <v>2.411798543632595</v>
      </c>
      <c r="X226" s="4">
        <f t="shared" si="16"/>
        <v>-6.3481697580649879E-2</v>
      </c>
      <c r="Y226" s="4">
        <f t="shared" si="17"/>
        <v>3.3902791212233265E-3</v>
      </c>
    </row>
    <row r="227" spans="22:25" x14ac:dyDescent="0.25">
      <c r="V227">
        <v>22.5</v>
      </c>
      <c r="W227">
        <f t="shared" si="9"/>
        <v>2.4054672767073768</v>
      </c>
      <c r="X227" s="4">
        <f t="shared" si="16"/>
        <v>-6.3144125072084112E-2</v>
      </c>
      <c r="Y227" s="4">
        <f t="shared" si="17"/>
        <v>3.3612301235793019E-3</v>
      </c>
    </row>
    <row r="228" spans="22:25" x14ac:dyDescent="0.25">
      <c r="V228">
        <v>22.6</v>
      </c>
      <c r="W228">
        <f t="shared" si="9"/>
        <v>2.3991696223764136</v>
      </c>
      <c r="X228" s="4">
        <f t="shared" si="16"/>
        <v>-6.2809439835136288E-2</v>
      </c>
      <c r="Y228" s="4">
        <f t="shared" si="17"/>
        <v>3.3325327535828255E-3</v>
      </c>
    </row>
    <row r="229" spans="22:25" x14ac:dyDescent="0.25">
      <c r="V229">
        <v>22.7</v>
      </c>
      <c r="W229">
        <f t="shared" si="9"/>
        <v>2.3929052936613742</v>
      </c>
      <c r="X229" s="4">
        <f t="shared" si="16"/>
        <v>-6.2477606985781545E-2</v>
      </c>
      <c r="Y229" s="4">
        <f t="shared" si="17"/>
        <v>3.3041814547948955E-3</v>
      </c>
    </row>
    <row r="230" spans="22:25" x14ac:dyDescent="0.25">
      <c r="V230">
        <v>22.8</v>
      </c>
      <c r="W230">
        <f t="shared" si="9"/>
        <v>2.3866740070447325</v>
      </c>
      <c r="X230" s="4">
        <f t="shared" si="16"/>
        <v>-6.2148592190174691E-2</v>
      </c>
      <c r="Y230" s="4">
        <f t="shared" si="17"/>
        <v>3.2761707796279287E-3</v>
      </c>
    </row>
    <row r="231" spans="22:25" x14ac:dyDescent="0.25">
      <c r="V231">
        <v>22.9</v>
      </c>
      <c r="W231">
        <f t="shared" si="9"/>
        <v>2.3804754824152834</v>
      </c>
      <c r="X231" s="4">
        <f t="shared" si="16"/>
        <v>-6.182236165389348E-2</v>
      </c>
      <c r="Y231" s="4">
        <f t="shared" si="17"/>
        <v>3.2484953867954599E-3</v>
      </c>
    </row>
    <row r="232" spans="22:25" x14ac:dyDescent="0.25">
      <c r="V232">
        <v>23</v>
      </c>
      <c r="W232">
        <f t="shared" si="9"/>
        <v>2.3743094430147353</v>
      </c>
      <c r="X232" s="4">
        <f t="shared" si="16"/>
        <v>-6.1498882111432687E-2</v>
      </c>
      <c r="Y232" s="4">
        <f t="shared" si="17"/>
        <v>3.2211500388314405E-3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Y232"/>
  <sheetViews>
    <sheetView workbookViewId="0"/>
  </sheetViews>
  <sheetFormatPr defaultRowHeight="15" x14ac:dyDescent="0.25"/>
  <sheetData>
    <row r="1" spans="1:25" x14ac:dyDescent="0.25">
      <c r="A1" s="1" t="s">
        <v>0</v>
      </c>
      <c r="V1" s="1" t="s">
        <v>1</v>
      </c>
      <c r="W1" s="1" t="s">
        <v>0</v>
      </c>
      <c r="X1" s="1" t="s">
        <v>7</v>
      </c>
      <c r="Y1" s="1" t="s">
        <v>8</v>
      </c>
    </row>
    <row r="2" spans="1:25" x14ac:dyDescent="0.25">
      <c r="A2">
        <v>10</v>
      </c>
      <c r="B2">
        <v>6</v>
      </c>
      <c r="C2">
        <v>5</v>
      </c>
      <c r="D2">
        <v>4</v>
      </c>
      <c r="E2">
        <v>3</v>
      </c>
      <c r="F2">
        <v>0</v>
      </c>
      <c r="V2">
        <v>0</v>
      </c>
      <c r="W2">
        <f>cfSab_mat(V2, $B$7:$E$11, $A$4:$E$4)</f>
        <v>10</v>
      </c>
      <c r="X2">
        <f>c_fSab_mat(V2, $B$7:$E$11, $A$4:$E$4)</f>
        <v>-1</v>
      </c>
      <c r="Y2">
        <f>c__fSab_mat(V2, $B$7:$E$11, $A$4:$E$4)</f>
        <v>0</v>
      </c>
    </row>
    <row r="3" spans="1:25" x14ac:dyDescent="0.25">
      <c r="A3" s="1" t="s">
        <v>1</v>
      </c>
      <c r="V3">
        <v>0.1</v>
      </c>
      <c r="W3">
        <f t="shared" ref="W3:W66" si="0">cfSab_mat(V3, $B$7:$E$11, $A$4:$E$4)</f>
        <v>9.9000025139337691</v>
      </c>
      <c r="X3" s="4">
        <f t="shared" ref="X3:X66" si="1">c_fSab_mat(V3, $B$7:$E$11, $A$4:$E$4)</f>
        <v>-0.99988349853335401</v>
      </c>
      <c r="Y3" s="4">
        <f t="shared" ref="Y3:Y66" si="2">c__fSab_mat(V3, $B$7:$E$11, $A$4:$E$4)</f>
        <v>4.0518020596873542E-3</v>
      </c>
    </row>
    <row r="4" spans="1:25" x14ac:dyDescent="0.25">
      <c r="A4">
        <v>0</v>
      </c>
      <c r="B4">
        <v>5</v>
      </c>
      <c r="C4">
        <v>7</v>
      </c>
      <c r="D4">
        <v>10</v>
      </c>
      <c r="E4">
        <v>15</v>
      </c>
      <c r="F4" t="s">
        <v>2</v>
      </c>
      <c r="V4">
        <v>0.2</v>
      </c>
      <c r="W4">
        <f t="shared" si="0"/>
        <v>9.800052517209469</v>
      </c>
      <c r="X4" s="4">
        <f t="shared" si="1"/>
        <v>-0.99891366430999629</v>
      </c>
      <c r="Y4" s="4">
        <f t="shared" si="2"/>
        <v>1.6108286907237573E-2</v>
      </c>
    </row>
    <row r="5" spans="1:25" x14ac:dyDescent="0.25">
      <c r="V5">
        <v>0.3</v>
      </c>
      <c r="W5">
        <f t="shared" si="0"/>
        <v>9.7002652219989791</v>
      </c>
      <c r="X5" s="4">
        <f t="shared" si="1"/>
        <v>-0.99659482535222599</v>
      </c>
      <c r="Y5" s="4">
        <f t="shared" si="2"/>
        <v>3.0311285361936995E-2</v>
      </c>
    </row>
    <row r="6" spans="1:25" x14ac:dyDescent="0.25">
      <c r="B6" s="1" t="s">
        <v>3</v>
      </c>
      <c r="C6" s="2" t="s">
        <v>6</v>
      </c>
      <c r="D6" s="1" t="s">
        <v>4</v>
      </c>
      <c r="E6" s="1" t="s">
        <v>5</v>
      </c>
      <c r="F6" s="1" t="s">
        <v>14</v>
      </c>
      <c r="V6">
        <v>0.4</v>
      </c>
      <c r="W6">
        <f t="shared" si="0"/>
        <v>9.6007804482229755</v>
      </c>
      <c r="X6" s="4">
        <f t="shared" si="1"/>
        <v>-0.99287413847529515</v>
      </c>
      <c r="Y6" s="4">
        <f t="shared" si="2"/>
        <v>4.3888463003980596E-2</v>
      </c>
    </row>
    <row r="7" spans="1:25" x14ac:dyDescent="0.25">
      <c r="B7" s="4">
        <f t="array" ref="B7:E11">KahaleInterpC2it(B2:E2, B4:E4, A2, F7)</f>
        <v>11.978457786972594</v>
      </c>
      <c r="C7" s="4">
        <v>1.1276210321079319</v>
      </c>
      <c r="D7">
        <v>0</v>
      </c>
      <c r="E7" s="4">
        <v>-1.9784577869725941</v>
      </c>
      <c r="F7" s="3">
        <v>2</v>
      </c>
      <c r="V7">
        <v>0.5</v>
      </c>
      <c r="W7">
        <f t="shared" si="0"/>
        <v>9.5017332442278803</v>
      </c>
      <c r="X7" s="4">
        <f t="shared" si="1"/>
        <v>-0.98786937009931353</v>
      </c>
      <c r="Y7" s="4">
        <f t="shared" si="2"/>
        <v>5.5920146400601632E-2</v>
      </c>
    </row>
    <row r="8" spans="1:25" x14ac:dyDescent="0.25">
      <c r="B8" s="4">
        <v>11.070231630154863</v>
      </c>
      <c r="C8" s="4">
        <v>0.67738211153423633</v>
      </c>
      <c r="D8" s="4">
        <v>0.2145023399274133</v>
      </c>
      <c r="E8" s="4">
        <v>-1.4300555021425649</v>
      </c>
      <c r="V8">
        <v>0.6</v>
      </c>
      <c r="W8">
        <f t="shared" si="0"/>
        <v>9.4032437786269512</v>
      </c>
      <c r="X8" s="4">
        <f t="shared" si="1"/>
        <v>-0.9817484970411019</v>
      </c>
      <c r="Y8" s="4">
        <f t="shared" si="2"/>
        <v>6.6208378587560388E-2</v>
      </c>
    </row>
    <row r="9" spans="1:25" x14ac:dyDescent="0.25">
      <c r="B9" s="4">
        <v>6.0587462136246311</v>
      </c>
      <c r="C9" s="4">
        <v>0.6801651123592023</v>
      </c>
      <c r="D9" s="4">
        <v>-0.12746098913519735</v>
      </c>
      <c r="E9" s="4">
        <v>4.5872323333792835</v>
      </c>
      <c r="V9">
        <v>0.7</v>
      </c>
      <c r="W9">
        <f t="shared" si="0"/>
        <v>9.3054150032886387</v>
      </c>
      <c r="X9" s="4">
        <f t="shared" si="1"/>
        <v>-0.97468338957494438</v>
      </c>
      <c r="Y9" s="4">
        <f t="shared" si="2"/>
        <v>7.4828534200582483E-2</v>
      </c>
    </row>
    <row r="10" spans="1:25" x14ac:dyDescent="0.25">
      <c r="B10" s="4">
        <v>7.6183278644777834</v>
      </c>
      <c r="C10" s="4">
        <v>0.83496469795448902</v>
      </c>
      <c r="D10" s="4">
        <v>-3.9591619547098646E-2</v>
      </c>
      <c r="E10" s="4">
        <v>2.5950482233453367</v>
      </c>
      <c r="V10">
        <v>0.8</v>
      </c>
      <c r="W10">
        <f t="shared" si="0"/>
        <v>9.208333264048477</v>
      </c>
      <c r="X10" s="4">
        <f t="shared" si="1"/>
        <v>-0.96683275079986375</v>
      </c>
      <c r="Y10" s="4">
        <f t="shared" si="2"/>
        <v>8.1950435851603706E-2</v>
      </c>
    </row>
    <row r="11" spans="1:25" x14ac:dyDescent="0.25">
      <c r="B11" s="4">
        <v>8.9408289322222174</v>
      </c>
      <c r="C11" s="4">
        <v>1.2567574233518641</v>
      </c>
      <c r="D11">
        <v>0</v>
      </c>
      <c r="E11">
        <v>0</v>
      </c>
      <c r="V11">
        <v>0.9</v>
      </c>
      <c r="W11">
        <f t="shared" si="0"/>
        <v>9.1120699404987686</v>
      </c>
      <c r="X11" s="4">
        <f t="shared" si="1"/>
        <v>-0.95833685462954343</v>
      </c>
      <c r="Y11" s="4">
        <f t="shared" si="2"/>
        <v>8.7765446942930148E-2</v>
      </c>
    </row>
    <row r="12" spans="1:25" x14ac:dyDescent="0.25">
      <c r="V12">
        <v>1</v>
      </c>
      <c r="W12">
        <f t="shared" si="0"/>
        <v>9.0166833361768646</v>
      </c>
      <c r="X12" s="4">
        <f t="shared" si="1"/>
        <v>-0.94931708181694752</v>
      </c>
      <c r="Y12" s="4">
        <f t="shared" si="2"/>
        <v>9.2457204169942173E-2</v>
      </c>
    </row>
    <row r="13" spans="1:25" x14ac:dyDescent="0.25">
      <c r="V13">
        <v>1.1000000000000001</v>
      </c>
      <c r="W13">
        <f t="shared" si="0"/>
        <v>8.9222205064484381</v>
      </c>
      <c r="X13" s="4">
        <f t="shared" si="1"/>
        <v>-0.93987732363044696</v>
      </c>
      <c r="Y13" s="4">
        <f t="shared" si="2"/>
        <v>9.6190953134701662E-2</v>
      </c>
    </row>
    <row r="14" spans="1:25" x14ac:dyDescent="0.25">
      <c r="V14">
        <v>1.2</v>
      </c>
      <c r="W14">
        <f t="shared" si="0"/>
        <v>8.8287189089372831</v>
      </c>
      <c r="X14" s="4">
        <f t="shared" si="1"/>
        <v>-0.930105995118927</v>
      </c>
      <c r="Y14" s="4">
        <f t="shared" si="2"/>
        <v>9.9110902696828776E-2</v>
      </c>
    </row>
    <row r="15" spans="1:25" x14ac:dyDescent="0.25">
      <c r="V15">
        <v>1.3</v>
      </c>
      <c r="W15">
        <f t="shared" si="0"/>
        <v>8.7362078462983703</v>
      </c>
      <c r="X15" s="4">
        <f t="shared" si="1"/>
        <v>-0.92007811946809714</v>
      </c>
      <c r="Y15" s="4">
        <f t="shared" si="2"/>
        <v>0.10134094977151153</v>
      </c>
    </row>
    <row r="16" spans="1:25" x14ac:dyDescent="0.25">
      <c r="V16">
        <v>1.4</v>
      </c>
      <c r="W16">
        <f t="shared" si="0"/>
        <v>8.6447097068975811</v>
      </c>
      <c r="X16" s="4">
        <f t="shared" si="1"/>
        <v>-0.90985726440002168</v>
      </c>
      <c r="Y16" s="4">
        <f t="shared" si="2"/>
        <v>0.10298668863772809</v>
      </c>
    </row>
    <row r="17" spans="22:25" x14ac:dyDescent="0.25">
      <c r="V17">
        <v>1.5</v>
      </c>
      <c r="W17">
        <f t="shared" si="0"/>
        <v>8.5542410227343399</v>
      </c>
      <c r="X17" s="4">
        <f t="shared" si="1"/>
        <v>-0.89949725525914237</v>
      </c>
      <c r="Y17" s="4">
        <f t="shared" si="2"/>
        <v>0.10413776792441523</v>
      </c>
    </row>
    <row r="18" spans="22:25" x14ac:dyDescent="0.25">
      <c r="V18">
        <v>1.6</v>
      </c>
      <c r="W18">
        <f t="shared" si="0"/>
        <v>8.464813367847924</v>
      </c>
      <c r="X18" s="4">
        <f t="shared" si="1"/>
        <v>-0.8890436533217323</v>
      </c>
      <c r="Y18" s="4">
        <f t="shared" si="2"/>
        <v>0.104870187305586</v>
      </c>
    </row>
    <row r="19" spans="22:25" x14ac:dyDescent="0.25">
      <c r="V19">
        <v>1.7</v>
      </c>
      <c r="W19">
        <f t="shared" si="0"/>
        <v>8.3764341200449159</v>
      </c>
      <c r="X19" s="4">
        <f t="shared" si="1"/>
        <v>-0.8785350147915838</v>
      </c>
      <c r="Y19" s="4">
        <f t="shared" si="2"/>
        <v>0.10524837232503133</v>
      </c>
    </row>
    <row r="20" spans="22:25" x14ac:dyDescent="0.25">
      <c r="V20">
        <v>1.8</v>
      </c>
      <c r="W20">
        <f t="shared" si="0"/>
        <v>8.2891071066589284</v>
      </c>
      <c r="X20" s="4">
        <f t="shared" si="1"/>
        <v>-0.86800395565974409</v>
      </c>
      <c r="Y20" s="4">
        <f t="shared" si="2"/>
        <v>0.10532697992501383</v>
      </c>
    </row>
    <row r="21" spans="22:25" x14ac:dyDescent="0.25">
      <c r="V21">
        <v>1.9</v>
      </c>
      <c r="W21">
        <f t="shared" si="0"/>
        <v>8.2028331524022455</v>
      </c>
      <c r="X21" s="4">
        <f t="shared" si="1"/>
        <v>-0.8574780494388069</v>
      </c>
      <c r="Y21" s="4">
        <f t="shared" si="2"/>
        <v>0.10515243840353061</v>
      </c>
    </row>
    <row r="22" spans="22:25" x14ac:dyDescent="0.25">
      <c r="V22">
        <v>2</v>
      </c>
      <c r="W22">
        <f t="shared" si="0"/>
        <v>8.1176105447300202</v>
      </c>
      <c r="X22" s="4">
        <f t="shared" si="1"/>
        <v>-0.84698058319378067</v>
      </c>
      <c r="Y22" s="4">
        <f t="shared" si="2"/>
        <v>0.10476424647415772</v>
      </c>
    </row>
    <row r="23" spans="22:25" x14ac:dyDescent="0.25">
      <c r="V23">
        <v>2.1</v>
      </c>
      <c r="W23">
        <f t="shared" si="0"/>
        <v>8.0334354297339523</v>
      </c>
      <c r="X23" s="4">
        <f t="shared" si="1"/>
        <v>-0.83653119441483959</v>
      </c>
      <c r="Y23" s="4">
        <f t="shared" si="2"/>
        <v>0.10419606271073831</v>
      </c>
    </row>
    <row r="24" spans="22:25" x14ac:dyDescent="0.25">
      <c r="V24">
        <v>2.2000000000000002</v>
      </c>
      <c r="W24">
        <f t="shared" si="0"/>
        <v>7.9503021494861237</v>
      </c>
      <c r="X24" s="4">
        <f t="shared" si="1"/>
        <v>-0.82614640811276208</v>
      </c>
      <c r="Y24" s="4">
        <f t="shared" si="2"/>
        <v>0.1034766166863986</v>
      </c>
    </row>
    <row r="25" spans="22:25" x14ac:dyDescent="0.25">
      <c r="V25">
        <v>2.2999999999999998</v>
      </c>
      <c r="W25">
        <f t="shared" si="0"/>
        <v>7.8682035299681772</v>
      </c>
      <c r="X25" s="4">
        <f t="shared" si="1"/>
        <v>-0.81584009051094819</v>
      </c>
      <c r="Y25" s="4">
        <f t="shared" si="2"/>
        <v>0.10263047036730161</v>
      </c>
    </row>
    <row r="26" spans="22:25" x14ac:dyDescent="0.25">
      <c r="V26">
        <v>2.4</v>
      </c>
      <c r="W26">
        <f t="shared" si="0"/>
        <v>7.7871311272205528</v>
      </c>
      <c r="X26" s="4">
        <f t="shared" si="1"/>
        <v>-0.80562383303280105</v>
      </c>
      <c r="Y26" s="4">
        <f t="shared" si="2"/>
        <v>0.10167865463984561</v>
      </c>
    </row>
    <row r="27" spans="22:25" x14ac:dyDescent="0.25">
      <c r="V27">
        <v>2.5</v>
      </c>
      <c r="W27">
        <f t="shared" si="0"/>
        <v>7.707075438094602</v>
      </c>
      <c r="X27" s="4">
        <f t="shared" si="1"/>
        <v>-0.7955072779844099</v>
      </c>
      <c r="Y27" s="4">
        <f t="shared" si="2"/>
        <v>0.10063920209920359</v>
      </c>
    </row>
    <row r="28" spans="22:25" x14ac:dyDescent="0.25">
      <c r="V28">
        <v>2.6</v>
      </c>
      <c r="W28">
        <f t="shared" si="0"/>
        <v>7.6280260809502014</v>
      </c>
      <c r="X28" s="4">
        <f t="shared" si="1"/>
        <v>-0.78549839539532407</v>
      </c>
      <c r="Y28" s="4">
        <f t="shared" si="2"/>
        <v>9.9527593781174234E-2</v>
      </c>
    </row>
    <row r="29" spans="22:25" x14ac:dyDescent="0.25">
      <c r="V29">
        <v>2.7</v>
      </c>
      <c r="W29">
        <f t="shared" si="0"/>
        <v>7.5499719507784064</v>
      </c>
      <c r="X29" s="4">
        <f t="shared" si="1"/>
        <v>-0.7756037188662579</v>
      </c>
      <c r="Y29" s="4">
        <f t="shared" si="2"/>
        <v>9.8357134510974234E-2</v>
      </c>
    </row>
    <row r="30" spans="22:25" x14ac:dyDescent="0.25">
      <c r="V30">
        <v>2.8</v>
      </c>
      <c r="W30">
        <f t="shared" si="0"/>
        <v>7.4729013525126895</v>
      </c>
      <c r="X30" s="4">
        <f t="shared" si="1"/>
        <v>-0.76582854693655988</v>
      </c>
      <c r="Y30" s="4">
        <f t="shared" si="2"/>
        <v>9.7139268989477848E-2</v>
      </c>
    </row>
    <row r="31" spans="22:25" x14ac:dyDescent="0.25">
      <c r="V31">
        <v>2.9</v>
      </c>
      <c r="W31">
        <f t="shared" si="0"/>
        <v>7.3968021156979571</v>
      </c>
      <c r="X31" s="4">
        <f t="shared" si="1"/>
        <v>-0.75617711538210586</v>
      </c>
      <c r="Y31" s="4">
        <f t="shared" si="2"/>
        <v>9.5883848606124408E-2</v>
      </c>
    </row>
    <row r="32" spans="22:25" x14ac:dyDescent="0.25">
      <c r="V32">
        <v>3</v>
      </c>
      <c r="W32">
        <f t="shared" si="0"/>
        <v>7.3216616931922935</v>
      </c>
      <c r="X32" s="4">
        <f t="shared" si="1"/>
        <v>-0.7466527449462883</v>
      </c>
      <c r="Y32" s="4">
        <f t="shared" si="2"/>
        <v>9.4599357205903872E-2</v>
      </c>
    </row>
    <row r="33" spans="22:25" x14ac:dyDescent="0.25">
      <c r="V33">
        <v>3.1</v>
      </c>
      <c r="W33">
        <f t="shared" si="0"/>
        <v>7.2474672461647707</v>
      </c>
      <c r="X33" s="4">
        <f t="shared" si="1"/>
        <v>-0.73725796825882695</v>
      </c>
      <c r="Y33" s="4">
        <f t="shared" si="2"/>
        <v>9.3293102589663349E-2</v>
      </c>
    </row>
    <row r="34" spans="22:25" x14ac:dyDescent="0.25">
      <c r="V34">
        <v>3.2</v>
      </c>
      <c r="W34">
        <f t="shared" si="0"/>
        <v>7.1742057173089488</v>
      </c>
      <c r="X34" s="4">
        <f t="shared" si="1"/>
        <v>-0.72799463908051987</v>
      </c>
      <c r="Y34" s="4">
        <f t="shared" si="2"/>
        <v>9.1971379340196432E-2</v>
      </c>
    </row>
    <row r="35" spans="22:25" x14ac:dyDescent="0.25">
      <c r="V35">
        <v>3.3</v>
      </c>
      <c r="W35">
        <f t="shared" si="0"/>
        <v>7.1018638939041914</v>
      </c>
      <c r="X35" s="4">
        <f t="shared" si="1"/>
        <v>-0.71886402650299519</v>
      </c>
      <c r="Y35" s="4">
        <f t="shared" si="2"/>
        <v>9.0639607595207408E-2</v>
      </c>
    </row>
    <row r="36" spans="22:25" x14ac:dyDescent="0.25">
      <c r="V36">
        <v>3.4</v>
      </c>
      <c r="W36">
        <f t="shared" si="0"/>
        <v>7.0304284621156974</v>
      </c>
      <c r="X36" s="4">
        <f t="shared" si="1"/>
        <v>-0.70986689631149202</v>
      </c>
      <c r="Y36" s="4">
        <f t="shared" si="2"/>
        <v>8.9302451593219923E-2</v>
      </c>
    </row>
    <row r="37" spans="22:25" x14ac:dyDescent="0.25">
      <c r="V37">
        <v>3.5</v>
      </c>
      <c r="W37">
        <f t="shared" si="0"/>
        <v>6.9598860537213589</v>
      </c>
      <c r="X37" s="4">
        <f t="shared" si="1"/>
        <v>-0.70100358136973107</v>
      </c>
      <c r="Y37" s="4">
        <f t="shared" si="2"/>
        <v>8.7963921167297274E-2</v>
      </c>
    </row>
    <row r="38" spans="22:25" x14ac:dyDescent="0.25">
      <c r="V38">
        <v>3.6</v>
      </c>
      <c r="W38">
        <f t="shared" si="0"/>
        <v>6.8902232862825663</v>
      </c>
      <c r="X38" s="4">
        <f t="shared" si="1"/>
        <v>-0.69227404259603298</v>
      </c>
      <c r="Y38" s="4">
        <f t="shared" si="2"/>
        <v>8.6627458827310794E-2</v>
      </c>
    </row>
    <row r="39" spans="22:25" x14ac:dyDescent="0.25">
      <c r="V39">
        <v>3.7</v>
      </c>
      <c r="W39">
        <f t="shared" si="0"/>
        <v>6.8214267976316165</v>
      </c>
      <c r="X39" s="4">
        <f t="shared" si="1"/>
        <v>-0.68367792185842513</v>
      </c>
      <c r="Y39" s="4">
        <f t="shared" si="2"/>
        <v>8.5296014632616407E-2</v>
      </c>
    </row>
    <row r="40" spans="22:25" x14ac:dyDescent="0.25">
      <c r="V40">
        <v>3.8</v>
      </c>
      <c r="W40">
        <f t="shared" si="0"/>
        <v>6.753483275426019</v>
      </c>
      <c r="X40" s="4">
        <f t="shared" si="1"/>
        <v>-0.67521458791494415</v>
      </c>
      <c r="Y40" s="4">
        <f t="shared" si="2"/>
        <v>8.3972110695647403E-2</v>
      </c>
    </row>
    <row r="41" spans="22:25" x14ac:dyDescent="0.25">
      <c r="V41">
        <v>3.9</v>
      </c>
      <c r="W41">
        <f t="shared" si="0"/>
        <v>6.6863794824159299</v>
      </c>
      <c r="X41" s="4">
        <f t="shared" si="1"/>
        <v>-0.66688317635667027</v>
      </c>
      <c r="Y41" s="4">
        <f t="shared" si="2"/>
        <v>8.2657896858748456E-2</v>
      </c>
    </row>
    <row r="42" spans="22:25" x14ac:dyDescent="0.25">
      <c r="V42">
        <v>4</v>
      </c>
      <c r="W42">
        <f t="shared" si="0"/>
        <v>6.620102277982685</v>
      </c>
      <c r="X42" s="4">
        <f t="shared" si="1"/>
        <v>-0.65868262436952041</v>
      </c>
      <c r="Y42" s="4">
        <f t="shared" si="2"/>
        <v>8.1355198839936888E-2</v>
      </c>
    </row>
    <row r="43" spans="22:25" x14ac:dyDescent="0.25">
      <c r="V43">
        <v>4.0999999999999996</v>
      </c>
      <c r="W43">
        <f t="shared" si="0"/>
        <v>6.5546386364306706</v>
      </c>
      <c r="X43" s="4">
        <f t="shared" si="1"/>
        <v>-0.65061170101179544</v>
      </c>
      <c r="Y43" s="4">
        <f t="shared" si="2"/>
        <v>8.0065559938774622E-2</v>
      </c>
    </row>
    <row r="44" spans="22:25" x14ac:dyDescent="0.25">
      <c r="V44">
        <v>4.2</v>
      </c>
      <c r="W44">
        <f t="shared" si="0"/>
        <v>6.4899756624504619</v>
      </c>
      <c r="X44" s="4">
        <f t="shared" si="1"/>
        <v>-0.64266903360412342</v>
      </c>
      <c r="Y44" s="4">
        <f t="shared" si="2"/>
        <v>7.8790277223552488E-2</v>
      </c>
    </row>
    <row r="45" spans="22:25" x14ac:dyDescent="0.25">
      <c r="V45">
        <v>4.3</v>
      </c>
      <c r="W45">
        <f t="shared" si="0"/>
        <v>6.4261006041156712</v>
      </c>
      <c r="X45" s="4">
        <f t="shared" si="1"/>
        <v>-0.63485313074361116</v>
      </c>
      <c r="Y45" s="4">
        <f t="shared" si="2"/>
        <v>7.7530432979346184E-2</v>
      </c>
    </row>
    <row r="46" spans="22:25" x14ac:dyDescent="0.25">
      <c r="V46">
        <v>4.4000000000000004</v>
      </c>
      <c r="W46">
        <f t="shared" si="0"/>
        <v>6.363000863728594</v>
      </c>
      <c r="X46" s="4">
        <f t="shared" si="1"/>
        <v>-0.62716240238215459</v>
      </c>
      <c r="Y46" s="4">
        <f t="shared" si="2"/>
        <v>7.6286922078183272E-2</v>
      </c>
    </row>
    <row r="47" spans="22:25" x14ac:dyDescent="0.25">
      <c r="V47">
        <v>4.5</v>
      </c>
      <c r="W47">
        <f t="shared" si="0"/>
        <v>6.3006640067887787</v>
      </c>
      <c r="X47" s="4">
        <f t="shared" si="1"/>
        <v>-0.61959517734783787</v>
      </c>
      <c r="Y47" s="4">
        <f t="shared" si="2"/>
        <v>7.5060475833480744E-2</v>
      </c>
    </row>
    <row r="48" spans="22:25" x14ac:dyDescent="0.25">
      <c r="V48">
        <v>4.5999999999999996</v>
      </c>
      <c r="W48">
        <f t="shared" si="0"/>
        <v>6.2390777693235009</v>
      </c>
      <c r="X48" s="4">
        <f t="shared" si="1"/>
        <v>-0.61214971863640333</v>
      </c>
      <c r="Y48" s="4">
        <f t="shared" si="2"/>
        <v>7.3851682817740363E-2</v>
      </c>
    </row>
    <row r="49" spans="22:25" x14ac:dyDescent="0.25">
      <c r="V49">
        <v>4.7</v>
      </c>
      <c r="W49">
        <f t="shared" si="0"/>
        <v>6.1782300637886252</v>
      </c>
      <c r="X49" s="4">
        <f t="shared" si="1"/>
        <v>-0.60482423675549046</v>
      </c>
      <c r="Y49" s="4">
        <f t="shared" si="2"/>
        <v>7.2661007052505971E-2</v>
      </c>
    </row>
    <row r="50" spans="22:25" x14ac:dyDescent="0.25">
      <c r="V50">
        <v>4.8</v>
      </c>
      <c r="W50">
        <f t="shared" si="0"/>
        <v>6.1181089837220739</v>
      </c>
      <c r="X50" s="4">
        <f t="shared" si="1"/>
        <v>-0.59761690136645917</v>
      </c>
      <c r="Y50" s="4">
        <f t="shared" si="2"/>
        <v>7.1488803920560826E-2</v>
      </c>
    </row>
    <row r="51" spans="22:25" x14ac:dyDescent="0.25">
      <c r="V51">
        <v>4.9000000000000004</v>
      </c>
      <c r="W51">
        <f t="shared" si="0"/>
        <v>6.0587028073092508</v>
      </c>
      <c r="X51" s="4">
        <f t="shared" si="1"/>
        <v>-0.59052585143619307</v>
      </c>
      <c r="Y51" s="4">
        <f t="shared" si="2"/>
        <v>7.0335334100446595E-2</v>
      </c>
    </row>
    <row r="52" spans="22:25" x14ac:dyDescent="0.25">
      <c r="V52">
        <v>5</v>
      </c>
      <c r="W52">
        <f t="shared" si="0"/>
        <v>6.0000000000000089</v>
      </c>
      <c r="X52" s="4">
        <f t="shared" si="1"/>
        <v>-0.58354920408343103</v>
      </c>
      <c r="Y52" s="4">
        <f t="shared" si="2"/>
        <v>8.3142146911404424E-2</v>
      </c>
    </row>
    <row r="53" spans="22:25" x14ac:dyDescent="0.25">
      <c r="V53">
        <v>5.0999999999999996</v>
      </c>
      <c r="W53">
        <f t="shared" si="0"/>
        <v>5.9420614015185773</v>
      </c>
      <c r="X53" s="4">
        <f t="shared" si="1"/>
        <v>-0.57521697442370945</v>
      </c>
      <c r="Y53" s="4">
        <f t="shared" si="2"/>
        <v>8.3489673061890132E-2</v>
      </c>
    </row>
    <row r="54" spans="22:25" x14ac:dyDescent="0.25">
      <c r="V54">
        <v>5.2</v>
      </c>
      <c r="W54">
        <f t="shared" si="0"/>
        <v>5.8849576373687977</v>
      </c>
      <c r="X54" s="4">
        <f t="shared" si="1"/>
        <v>-0.56685376545414079</v>
      </c>
      <c r="Y54" s="4">
        <f t="shared" si="2"/>
        <v>8.3762318260878918E-2</v>
      </c>
    </row>
    <row r="55" spans="22:25" x14ac:dyDescent="0.25">
      <c r="V55">
        <v>5.3</v>
      </c>
      <c r="W55">
        <f t="shared" si="0"/>
        <v>5.8286914369087475</v>
      </c>
      <c r="X55" s="4">
        <f t="shared" si="1"/>
        <v>-0.55846689051789633</v>
      </c>
      <c r="Y55" s="4">
        <f t="shared" si="2"/>
        <v>8.3963569196798038E-2</v>
      </c>
    </row>
    <row r="56" spans="22:25" x14ac:dyDescent="0.25">
      <c r="V56">
        <v>5.4</v>
      </c>
      <c r="W56">
        <f t="shared" si="0"/>
        <v>5.77326481550719</v>
      </c>
      <c r="X56" s="4">
        <f t="shared" si="1"/>
        <v>-0.55006331699070832</v>
      </c>
      <c r="Y56" s="4">
        <f t="shared" si="2"/>
        <v>8.4096856638282758E-2</v>
      </c>
    </row>
    <row r="57" spans="22:25" x14ac:dyDescent="0.25">
      <c r="V57">
        <v>5.5</v>
      </c>
      <c r="W57">
        <f t="shared" si="0"/>
        <v>5.718679108842637</v>
      </c>
      <c r="X57" s="4">
        <f t="shared" si="1"/>
        <v>-0.54164967240713391</v>
      </c>
      <c r="Y57" s="4">
        <f t="shared" si="2"/>
        <v>8.4165545072813819E-2</v>
      </c>
    </row>
    <row r="58" spans="22:25" x14ac:dyDescent="0.25">
      <c r="V58">
        <v>5.6</v>
      </c>
      <c r="W58">
        <f t="shared" si="0"/>
        <v>5.6649350065411141</v>
      </c>
      <c r="X58" s="4">
        <f t="shared" si="1"/>
        <v>-0.53323225152953024</v>
      </c>
      <c r="Y58" s="4">
        <f t="shared" si="2"/>
        <v>8.4172924175903149E-2</v>
      </c>
    </row>
    <row r="59" spans="22:25" x14ac:dyDescent="0.25">
      <c r="V59">
        <v>5.7</v>
      </c>
      <c r="W59">
        <f t="shared" si="0"/>
        <v>5.6120325850671708</v>
      </c>
      <c r="X59" s="4">
        <f t="shared" si="1"/>
        <v>-0.52481702418768328</v>
      </c>
      <c r="Y59" s="4">
        <f t="shared" si="2"/>
        <v>8.4122201894661131E-2</v>
      </c>
    </row>
    <row r="60" spans="22:25" x14ac:dyDescent="0.25">
      <c r="V60">
        <v>5.8</v>
      </c>
      <c r="W60">
        <f t="shared" si="0"/>
        <v>5.5599713397987713</v>
      </c>
      <c r="X60" s="4">
        <f t="shared" si="1"/>
        <v>-0.51640964373755804</v>
      </c>
      <c r="Y60" s="4">
        <f t="shared" si="2"/>
        <v>8.4016498951078392E-2</v>
      </c>
    </row>
    <row r="61" spans="22:25" x14ac:dyDescent="0.25">
      <c r="V61">
        <v>5.9</v>
      </c>
      <c r="W61">
        <f t="shared" si="0"/>
        <v>5.5087502162309852</v>
      </c>
      <c r="X61" s="4">
        <f t="shared" si="1"/>
        <v>-0.50801545600609843</v>
      </c>
      <c r="Y61" s="4">
        <f t="shared" si="2"/>
        <v>8.3858844590119108E-2</v>
      </c>
    </row>
    <row r="62" spans="22:25" x14ac:dyDescent="0.25">
      <c r="V62">
        <v>6</v>
      </c>
      <c r="W62">
        <f t="shared" si="0"/>
        <v>5.4583676402657959</v>
      </c>
      <c r="X62" s="4">
        <f t="shared" si="1"/>
        <v>-0.4996395086055847</v>
      </c>
      <c r="Y62" s="4">
        <f t="shared" si="2"/>
        <v>8.3652173415817765E-2</v>
      </c>
    </row>
    <row r="63" spans="22:25" x14ac:dyDescent="0.25">
      <c r="V63">
        <v>6.1</v>
      </c>
      <c r="W63">
        <f t="shared" si="0"/>
        <v>5.4088215475563057</v>
      </c>
      <c r="X63" s="4">
        <f t="shared" si="1"/>
        <v>-0.49128656051588804</v>
      </c>
      <c r="Y63" s="4">
        <f t="shared" si="2"/>
        <v>8.339932317507949E-2</v>
      </c>
    </row>
    <row r="64" spans="22:25" x14ac:dyDescent="0.25">
      <c r="V64">
        <v>6.2</v>
      </c>
      <c r="W64">
        <f t="shared" si="0"/>
        <v>5.3601094118830508</v>
      </c>
      <c r="X64" s="4">
        <f t="shared" si="1"/>
        <v>-0.48296109184624314</v>
      </c>
      <c r="Y64" s="4">
        <f t="shared" si="2"/>
        <v>8.3103033363893714E-2</v>
      </c>
    </row>
    <row r="65" spans="22:25" x14ac:dyDescent="0.25">
      <c r="V65">
        <v>6.3</v>
      </c>
      <c r="W65">
        <f t="shared" si="0"/>
        <v>5.3122282725483858</v>
      </c>
      <c r="X65" s="4">
        <f t="shared" si="1"/>
        <v>-0.4746673136999815</v>
      </c>
      <c r="Y65" s="4">
        <f t="shared" si="2"/>
        <v>8.2765944544285389E-2</v>
      </c>
    </row>
    <row r="66" spans="22:25" x14ac:dyDescent="0.25">
      <c r="V66">
        <v>6.4</v>
      </c>
      <c r="W66">
        <f t="shared" si="0"/>
        <v>5.2651747607820649</v>
      </c>
      <c r="X66" s="4">
        <f t="shared" si="1"/>
        <v>-0.46640917807622384</v>
      </c>
      <c r="Y66" s="4">
        <f t="shared" si="2"/>
        <v>8.2390598272641641E-2</v>
      </c>
    </row>
    <row r="67" spans="22:25" x14ac:dyDescent="0.25">
      <c r="V67">
        <v>6.5</v>
      </c>
      <c r="W67">
        <f t="shared" ref="W67:W130" si="3">cfSab_mat(V67, $B$7:$E$11, $A$4:$E$4)</f>
        <v>5.218945125157167</v>
      </c>
      <c r="X67" s="4">
        <f t="shared" ref="X67:X130" si="4">c_fSab_mat(V67, $B$7:$E$11, $A$4:$E$4)</f>
        <v>-0.45819038775188925</v>
      </c>
      <c r="Y67" s="4">
        <f t="shared" ref="Y67:Y130" si="5">c__fSab_mat(V67, $B$7:$E$11, $A$4:$E$4)</f>
        <v>8.1979437551169168E-2</v>
      </c>
    </row>
    <row r="68" spans="22:25" x14ac:dyDescent="0.25">
      <c r="V68">
        <v>6.6</v>
      </c>
      <c r="W68">
        <f t="shared" si="3"/>
        <v>5.1735352560208749</v>
      </c>
      <c r="X68" s="4">
        <f t="shared" si="4"/>
        <v>-0.45001440609570142</v>
      </c>
      <c r="Y68" s="4">
        <f t="shared" si="5"/>
        <v>8.15348077242527E-2</v>
      </c>
    </row>
    <row r="69" spans="22:25" x14ac:dyDescent="0.25">
      <c r="V69">
        <v>6.7</v>
      </c>
      <c r="W69">
        <f t="shared" si="3"/>
        <v>5.1289407089489893</v>
      </c>
      <c r="X69" s="4">
        <f t="shared" si="4"/>
        <v>-0.44188446677323345</v>
      </c>
      <c r="Y69" s="4">
        <f t="shared" si="5"/>
        <v>8.1058957750490351E-2</v>
      </c>
    </row>
    <row r="70" spans="22:25" x14ac:dyDescent="0.25">
      <c r="V70">
        <v>6.8</v>
      </c>
      <c r="W70">
        <f t="shared" si="3"/>
        <v>5.0851567272368268</v>
      </c>
      <c r="X70" s="4">
        <f t="shared" si="4"/>
        <v>-0.43380358330854385</v>
      </c>
      <c r="Y70" s="4">
        <f t="shared" si="5"/>
        <v>8.0554041789268754E-2</v>
      </c>
    </row>
    <row r="71" spans="22:25" x14ac:dyDescent="0.25">
      <c r="V71">
        <v>6.9</v>
      </c>
      <c r="W71">
        <f t="shared" si="3"/>
        <v>5.0421782634423611</v>
      </c>
      <c r="X71" s="4">
        <f t="shared" si="4"/>
        <v>-0.42577455847370183</v>
      </c>
      <c r="Y71" s="4">
        <f t="shared" si="5"/>
        <v>8.0022121047988309E-2</v>
      </c>
    </row>
    <row r="72" spans="22:25" x14ac:dyDescent="0.25">
      <c r="V72">
        <v>7</v>
      </c>
      <c r="W72">
        <f t="shared" si="3"/>
        <v>5.0000000000000009</v>
      </c>
      <c r="X72" s="4">
        <f t="shared" si="4"/>
        <v>-0.41779999348256058</v>
      </c>
      <c r="Y72" s="4">
        <f t="shared" si="5"/>
        <v>7.193452863851256E-2</v>
      </c>
    </row>
    <row r="73" spans="22:25" x14ac:dyDescent="0.25">
      <c r="V73">
        <v>7.1</v>
      </c>
      <c r="W73">
        <f t="shared" si="3"/>
        <v>4.9585765875082863</v>
      </c>
      <c r="X73" s="4">
        <f t="shared" si="4"/>
        <v>-0.41069893517358813</v>
      </c>
      <c r="Y73" s="4">
        <f t="shared" si="5"/>
        <v>7.0093794459513956E-2</v>
      </c>
    </row>
    <row r="74" spans="22:25" x14ac:dyDescent="0.25">
      <c r="V74">
        <v>7.2</v>
      </c>
      <c r="W74">
        <f t="shared" si="3"/>
        <v>4.9178541486151079</v>
      </c>
      <c r="X74" s="4">
        <f t="shared" si="4"/>
        <v>-0.40377980847579853</v>
      </c>
      <c r="Y74" s="4">
        <f t="shared" si="5"/>
        <v>6.829584114920452E-2</v>
      </c>
    </row>
    <row r="75" spans="22:25" x14ac:dyDescent="0.25">
      <c r="V75">
        <v>7.3</v>
      </c>
      <c r="W75">
        <f t="shared" si="3"/>
        <v>4.8778147034799364</v>
      </c>
      <c r="X75" s="4">
        <f t="shared" si="4"/>
        <v>-0.39703835312084779</v>
      </c>
      <c r="Y75" s="4">
        <f t="shared" si="5"/>
        <v>6.6540300273340042E-2</v>
      </c>
    </row>
    <row r="76" spans="22:25" x14ac:dyDescent="0.25">
      <c r="V76">
        <v>7.4</v>
      </c>
      <c r="W76">
        <f t="shared" si="3"/>
        <v>4.8384406963302071</v>
      </c>
      <c r="X76" s="4">
        <f t="shared" si="4"/>
        <v>-0.3904703491453585</v>
      </c>
      <c r="Y76" s="4">
        <f t="shared" si="5"/>
        <v>6.4826735711963096E-2</v>
      </c>
    </row>
    <row r="77" spans="22:25" x14ac:dyDescent="0.25">
      <c r="V77">
        <v>7.5</v>
      </c>
      <c r="W77">
        <f t="shared" si="3"/>
        <v>4.7997149911074928</v>
      </c>
      <c r="X77" s="4">
        <f t="shared" si="4"/>
        <v>-0.38407162321088861</v>
      </c>
      <c r="Y77" s="4">
        <f t="shared" si="5"/>
        <v>6.3154652484735438E-2</v>
      </c>
    </row>
    <row r="78" spans="22:25" x14ac:dyDescent="0.25">
      <c r="V78">
        <v>7.6</v>
      </c>
      <c r="W78">
        <f t="shared" si="3"/>
        <v>4.7616208665243382</v>
      </c>
      <c r="X78" s="4">
        <f t="shared" si="4"/>
        <v>-0.37783805408409188</v>
      </c>
      <c r="Y78" s="4">
        <f t="shared" si="5"/>
        <v>6.1523504734475896E-2</v>
      </c>
    </row>
    <row r="79" spans="22:25" x14ac:dyDescent="0.25">
      <c r="V79">
        <v>7.7</v>
      </c>
      <c r="W79">
        <f t="shared" si="3"/>
        <v>4.724142010611704</v>
      </c>
      <c r="X79" s="4">
        <f t="shared" si="4"/>
        <v>-0.37176557735754073</v>
      </c>
      <c r="Y79" s="4">
        <f t="shared" si="5"/>
        <v>5.993270294204623E-2</v>
      </c>
    </row>
    <row r="80" spans="22:25" x14ac:dyDescent="0.25">
      <c r="V80">
        <v>7.8</v>
      </c>
      <c r="W80">
        <f t="shared" si="3"/>
        <v>4.6872625148291993</v>
      </c>
      <c r="X80" s="4">
        <f t="shared" si="4"/>
        <v>-0.36585018948467185</v>
      </c>
      <c r="Y80" s="4">
        <f t="shared" si="5"/>
        <v>5.8381620439751328E-2</v>
      </c>
    </row>
    <row r="81" spans="22:25" x14ac:dyDescent="0.25">
      <c r="V81">
        <v>7.9</v>
      </c>
      <c r="W81">
        <f t="shared" si="3"/>
        <v>4.6509668678032945</v>
      </c>
      <c r="X81" s="4">
        <f t="shared" si="4"/>
        <v>-0.36008795119587444</v>
      </c>
      <c r="Y81" s="4">
        <f t="shared" si="5"/>
        <v>5.6869599284884075E-2</v>
      </c>
    </row>
    <row r="82" spans="22:25" x14ac:dyDescent="0.25">
      <c r="V82">
        <v>8</v>
      </c>
      <c r="W82">
        <f t="shared" si="3"/>
        <v>4.615239948752305</v>
      </c>
      <c r="X82" s="4">
        <f t="shared" si="4"/>
        <v>-0.35447499035684399</v>
      </c>
      <c r="Y82" s="4">
        <f t="shared" si="5"/>
        <v>5.5395955549927163E-2</v>
      </c>
    </row>
    <row r="83" spans="22:25" x14ac:dyDescent="0.25">
      <c r="V83">
        <v>8.1</v>
      </c>
      <c r="W83">
        <f t="shared" si="3"/>
        <v>4.5800670206510734</v>
      </c>
      <c r="X83" s="4">
        <f t="shared" si="4"/>
        <v>-0.34900750432490457</v>
      </c>
      <c r="Y83" s="4">
        <f t="shared" si="5"/>
        <v>5.3959984081195705E-2</v>
      </c>
    </row>
    <row r="84" spans="22:25" x14ac:dyDescent="0.25">
      <c r="V84">
        <v>8.1999999999999993</v>
      </c>
      <c r="W84">
        <f t="shared" si="3"/>
        <v>4.545433723182998</v>
      </c>
      <c r="X84" s="4">
        <f t="shared" si="4"/>
        <v>-0.34368176185405303</v>
      </c>
      <c r="Y84" s="4">
        <f t="shared" si="5"/>
        <v>5.2560962773346473E-2</v>
      </c>
    </row>
    <row r="85" spans="22:25" x14ac:dyDescent="0.25">
      <c r="V85">
        <v>8.3000000000000007</v>
      </c>
      <c r="W85">
        <f t="shared" si="3"/>
        <v>4.5113260655221739</v>
      </c>
      <c r="X85" s="4">
        <f t="shared" si="4"/>
        <v>-0.33849410459493323</v>
      </c>
      <c r="Y85" s="4">
        <f t="shared" si="5"/>
        <v>5.1198156403164927E-2</v>
      </c>
    </row>
    <row r="86" spans="22:25" x14ac:dyDescent="0.25">
      <c r="V86">
        <v>8.4</v>
      </c>
      <c r="W86">
        <f t="shared" si="3"/>
        <v>4.4777304189840121</v>
      </c>
      <c r="X86" s="4">
        <f t="shared" si="4"/>
        <v>-0.33344094823179943</v>
      </c>
      <c r="Y86" s="4">
        <f t="shared" si="5"/>
        <v>4.987082006234729E-2</v>
      </c>
    </row>
    <row r="87" spans="22:25" x14ac:dyDescent="0.25">
      <c r="V87">
        <v>8.5</v>
      </c>
      <c r="W87">
        <f t="shared" si="3"/>
        <v>4.4446335095787219</v>
      </c>
      <c r="X87" s="4">
        <f t="shared" si="4"/>
        <v>-0.32851878329472312</v>
      </c>
      <c r="Y87" s="4">
        <f t="shared" si="5"/>
        <v>4.8578202225599297E-2</v>
      </c>
    </row>
    <row r="88" spans="22:25" x14ac:dyDescent="0.25">
      <c r="V88">
        <v>8.6</v>
      </c>
      <c r="W88">
        <f t="shared" si="3"/>
        <v>4.4120224104983281</v>
      </c>
      <c r="X88" s="4">
        <f t="shared" si="4"/>
        <v>-0.32372417568183015</v>
      </c>
      <c r="Y88" s="4">
        <f t="shared" si="5"/>
        <v>4.7319547487255427E-2</v>
      </c>
    </row>
    <row r="89" spans="22:25" x14ac:dyDescent="0.25">
      <c r="V89">
        <v>8.6999999999999993</v>
      </c>
      <c r="W89">
        <f t="shared" si="3"/>
        <v>4.3798845345646491</v>
      </c>
      <c r="X89" s="4">
        <f t="shared" si="4"/>
        <v>-0.31905376692317339</v>
      </c>
      <c r="Y89" s="4">
        <f t="shared" si="5"/>
        <v>4.6094098996759564E-2</v>
      </c>
    </row>
    <row r="90" spans="22:25" x14ac:dyDescent="0.25">
      <c r="V90">
        <v>8.8000000000000007</v>
      </c>
      <c r="W90">
        <f t="shared" si="3"/>
        <v>4.3482076266625871</v>
      </c>
      <c r="X90" s="4">
        <f t="shared" si="4"/>
        <v>-0.31450427421494936</v>
      </c>
      <c r="Y90" s="4">
        <f t="shared" si="5"/>
        <v>4.4901100620722861E-2</v>
      </c>
    </row>
    <row r="91" spans="22:25" x14ac:dyDescent="0.25">
      <c r="V91">
        <v>8.9</v>
      </c>
      <c r="W91">
        <f t="shared" si="3"/>
        <v>4.3169797561803964</v>
      </c>
      <c r="X91" s="4">
        <f t="shared" si="4"/>
        <v>-0.31007249025011641</v>
      </c>
      <c r="Y91" s="4">
        <f t="shared" si="5"/>
        <v>4.3739798856868316E-2</v>
      </c>
    </row>
    <row r="92" spans="22:25" x14ac:dyDescent="0.25">
      <c r="V92">
        <v>9</v>
      </c>
      <c r="W92">
        <f t="shared" si="3"/>
        <v>4.2861893094760566</v>
      </c>
      <c r="X92" s="4">
        <f t="shared" si="4"/>
        <v>-0.30575528286905174</v>
      </c>
      <c r="Y92" s="4">
        <f t="shared" si="5"/>
        <v>4.2609444522966264E-2</v>
      </c>
    </row>
    <row r="93" spans="22:25" x14ac:dyDescent="0.25">
      <c r="V93">
        <v>9.1</v>
      </c>
      <c r="W93">
        <f t="shared" si="3"/>
        <v>4.2558249823866934</v>
      </c>
      <c r="X93" s="4">
        <f t="shared" si="4"/>
        <v>-0.30154959455168073</v>
      </c>
      <c r="Y93" s="4">
        <f t="shared" si="5"/>
        <v>4.1509294241846142E-2</v>
      </c>
    </row>
    <row r="94" spans="22:25" x14ac:dyDescent="0.25">
      <c r="V94">
        <v>9.1999999999999993</v>
      </c>
      <c r="W94">
        <f t="shared" si="3"/>
        <v>4.2258757727958889</v>
      </c>
      <c r="X94" s="4">
        <f t="shared" si="4"/>
        <v>-0.29745244177049002</v>
      </c>
      <c r="Y94" s="4">
        <f t="shared" si="5"/>
        <v>4.0438611741720733E-2</v>
      </c>
    </row>
    <row r="95" spans="22:25" x14ac:dyDescent="0.25">
      <c r="V95">
        <v>9.3000000000000007</v>
      </c>
      <c r="W95">
        <f t="shared" si="3"/>
        <v>4.1963309732719054</v>
      </c>
      <c r="X95" s="4">
        <f t="shared" si="4"/>
        <v>-0.29346091422200715</v>
      </c>
      <c r="Y95" s="4">
        <f t="shared" si="5"/>
        <v>3.9396668989368368E-2</v>
      </c>
    </row>
    <row r="96" spans="22:25" x14ac:dyDescent="0.25">
      <c r="V96">
        <v>9.4</v>
      </c>
      <c r="W96">
        <f t="shared" si="3"/>
        <v>4.167180163788176</v>
      </c>
      <c r="X96" s="4">
        <f t="shared" si="4"/>
        <v>-0.28957217395264534</v>
      </c>
      <c r="Y96" s="4">
        <f t="shared" si="5"/>
        <v>3.8382747172170342E-2</v>
      </c>
    </row>
    <row r="97" spans="22:25" x14ac:dyDescent="0.25">
      <c r="V97">
        <v>9.5</v>
      </c>
      <c r="W97">
        <f t="shared" si="3"/>
        <v>4.1384132045358752</v>
      </c>
      <c r="X97" s="4">
        <f t="shared" si="4"/>
        <v>-0.28578345439328778</v>
      </c>
      <c r="Y97" s="4">
        <f t="shared" si="5"/>
        <v>3.7396137543586061E-2</v>
      </c>
    </row>
    <row r="98" spans="22:25" x14ac:dyDescent="0.25">
      <c r="V98">
        <v>9.6</v>
      </c>
      <c r="W98">
        <f t="shared" si="3"/>
        <v>4.11002022883706</v>
      </c>
      <c r="X98" s="4">
        <f t="shared" si="4"/>
        <v>-0.28209205931559544</v>
      </c>
      <c r="Y98" s="4">
        <f t="shared" si="5"/>
        <v>3.6436142145355004E-2</v>
      </c>
    </row>
    <row r="99" spans="22:25" x14ac:dyDescent="0.25">
      <c r="V99">
        <v>9.6999999999999993</v>
      </c>
      <c r="W99">
        <f t="shared" si="3"/>
        <v>4.0819916361655952</v>
      </c>
      <c r="X99" s="4">
        <f t="shared" si="4"/>
        <v>-0.2784953617217486</v>
      </c>
      <c r="Y99" s="4">
        <f t="shared" si="5"/>
        <v>3.5502074418531086E-2</v>
      </c>
    </row>
    <row r="100" spans="22:25" x14ac:dyDescent="0.25">
      <c r="V100">
        <v>9.8000000000000007</v>
      </c>
      <c r="W100">
        <f t="shared" si="3"/>
        <v>4.0543180852819845</v>
      </c>
      <c r="X100" s="4">
        <f t="shared" si="4"/>
        <v>-0.27499080267817883</v>
      </c>
      <c r="Y100" s="4">
        <f t="shared" si="5"/>
        <v>3.459325971437513E-2</v>
      </c>
    </row>
    <row r="101" spans="22:25" x14ac:dyDescent="0.25">
      <c r="V101">
        <v>9.9</v>
      </c>
      <c r="W101">
        <f t="shared" si="3"/>
        <v>4.0269904874872466</v>
      </c>
      <c r="X101" s="4">
        <f t="shared" si="4"/>
        <v>-0.2715758901027977</v>
      </c>
      <c r="Y101" s="4">
        <f t="shared" si="5"/>
        <v>3.3709035715143429E-2</v>
      </c>
    </row>
    <row r="102" spans="22:25" x14ac:dyDescent="0.25">
      <c r="V102">
        <v>10</v>
      </c>
      <c r="W102">
        <f t="shared" si="3"/>
        <v>4</v>
      </c>
      <c r="X102" s="4">
        <f t="shared" si="4"/>
        <v>-0.26824819751426759</v>
      </c>
      <c r="Y102" s="4">
        <f t="shared" si="5"/>
        <v>3.6247343935225641E-2</v>
      </c>
    </row>
    <row r="103" spans="22:25" x14ac:dyDescent="0.25">
      <c r="V103">
        <v>10.1</v>
      </c>
      <c r="W103">
        <f t="shared" si="3"/>
        <v>3.9733552811192134</v>
      </c>
      <c r="X103" s="4">
        <f t="shared" si="4"/>
        <v>-0.26465747827738073</v>
      </c>
      <c r="Y103" s="4">
        <f t="shared" si="5"/>
        <v>3.5569448098805703E-2</v>
      </c>
    </row>
    <row r="104" spans="22:25" x14ac:dyDescent="0.25">
      <c r="V104">
        <v>10.199999999999999</v>
      </c>
      <c r="W104">
        <f t="shared" si="3"/>
        <v>3.9470662686244844</v>
      </c>
      <c r="X104" s="4">
        <f t="shared" si="4"/>
        <v>-0.26113383168879295</v>
      </c>
      <c r="Y104" s="4">
        <f t="shared" si="5"/>
        <v>3.4905838615281168E-2</v>
      </c>
    </row>
    <row r="105" spans="22:25" x14ac:dyDescent="0.25">
      <c r="V105">
        <v>10.3</v>
      </c>
      <c r="W105">
        <f t="shared" si="3"/>
        <v>3.9211263261614806</v>
      </c>
      <c r="X105" s="4">
        <f t="shared" si="4"/>
        <v>-0.2576758447282837</v>
      </c>
      <c r="Y105" s="4">
        <f t="shared" si="5"/>
        <v>3.4256204096812931E-2</v>
      </c>
    </row>
    <row r="106" spans="22:25" x14ac:dyDescent="0.25">
      <c r="V106">
        <v>10.4</v>
      </c>
      <c r="W106">
        <f t="shared" si="3"/>
        <v>3.8955289571301215</v>
      </c>
      <c r="X106" s="4">
        <f t="shared" si="4"/>
        <v>-0.25428213523928095</v>
      </c>
      <c r="Y106" s="4">
        <f t="shared" si="5"/>
        <v>3.3620238668365381E-2</v>
      </c>
    </row>
    <row r="107" spans="22:25" x14ac:dyDescent="0.25">
      <c r="V107">
        <v>10.5</v>
      </c>
      <c r="W107">
        <f t="shared" si="3"/>
        <v>3.8702678016258627</v>
      </c>
      <c r="X107" s="4">
        <f t="shared" si="4"/>
        <v>-0.25095135137486452</v>
      </c>
      <c r="Y107" s="4">
        <f t="shared" si="5"/>
        <v>3.2997642018959591E-2</v>
      </c>
    </row>
    <row r="108" spans="22:25" x14ac:dyDescent="0.25">
      <c r="V108">
        <v>10.6</v>
      </c>
      <c r="W108">
        <f t="shared" si="3"/>
        <v>3.8453366334366139</v>
      </c>
      <c r="X108" s="4">
        <f t="shared" si="4"/>
        <v>-0.24768217103953385</v>
      </c>
      <c r="Y108" s="4">
        <f t="shared" si="5"/>
        <v>3.2388119435463561E-2</v>
      </c>
    </row>
    <row r="109" spans="22:25" x14ac:dyDescent="0.25">
      <c r="V109">
        <v>10.7</v>
      </c>
      <c r="W109">
        <f t="shared" si="3"/>
        <v>3.8207293570956264</v>
      </c>
      <c r="X109" s="4">
        <f t="shared" si="4"/>
        <v>-0.24447330132839287</v>
      </c>
      <c r="Y109" s="4">
        <f t="shared" si="5"/>
        <v>3.1791381820720638E-2</v>
      </c>
    </row>
    <row r="110" spans="22:25" x14ac:dyDescent="0.25">
      <c r="V110">
        <v>10.8</v>
      </c>
      <c r="W110">
        <f t="shared" si="3"/>
        <v>3.7964400049905205</v>
      </c>
      <c r="X110" s="4">
        <f t="shared" si="4"/>
        <v>-0.24132347796523704</v>
      </c>
      <c r="Y110" s="4">
        <f t="shared" si="5"/>
        <v>3.1207145697657118E-2</v>
      </c>
    </row>
    <row r="111" spans="22:25" x14ac:dyDescent="0.25">
      <c r="V111">
        <v>10.9</v>
      </c>
      <c r="W111">
        <f t="shared" si="3"/>
        <v>3.7724627345285144</v>
      </c>
      <c r="X111" s="4">
        <f t="shared" si="4"/>
        <v>-0.23823146474086718</v>
      </c>
      <c r="Y111" s="4">
        <f t="shared" si="5"/>
        <v>3.0635133200862578E-2</v>
      </c>
    </row>
    <row r="112" spans="22:25" x14ac:dyDescent="0.25">
      <c r="V112">
        <v>11</v>
      </c>
      <c r="W112">
        <f t="shared" si="3"/>
        <v>3.7487918253577455</v>
      </c>
      <c r="X112" s="4">
        <f t="shared" si="4"/>
        <v>-0.23519605295281509</v>
      </c>
      <c r="Y112" s="4">
        <f t="shared" si="5"/>
        <v>3.0075072057003098E-2</v>
      </c>
    </row>
    <row r="113" spans="22:25" x14ac:dyDescent="0.25">
      <c r="V113">
        <v>11.1</v>
      </c>
      <c r="W113">
        <f t="shared" si="3"/>
        <v>3.7254216766445185</v>
      </c>
      <c r="X113" s="4">
        <f t="shared" si="4"/>
        <v>-0.23221606084753363</v>
      </c>
      <c r="Y113" s="4">
        <f t="shared" si="5"/>
        <v>2.9526695555304527E-2</v>
      </c>
    </row>
    <row r="114" spans="22:25" x14ac:dyDescent="0.25">
      <c r="V114">
        <v>11.2</v>
      </c>
      <c r="W114">
        <f t="shared" si="3"/>
        <v>3.7023468044061634</v>
      </c>
      <c r="X114" s="4">
        <f t="shared" si="4"/>
        <v>-0.22929033306598776</v>
      </c>
      <c r="Y114" s="4">
        <f t="shared" si="5"/>
        <v>2.898974250923193E-2</v>
      </c>
    </row>
    <row r="115" spans="22:25" x14ac:dyDescent="0.25">
      <c r="V115">
        <v>11.3</v>
      </c>
      <c r="W115">
        <f t="shared" si="3"/>
        <v>3.6795618388991294</v>
      </c>
      <c r="X115" s="4">
        <f t="shared" si="4"/>
        <v>-0.22641774009347498</v>
      </c>
      <c r="Y115" s="4">
        <f t="shared" si="5"/>
        <v>2.8463957210388954E-2</v>
      </c>
    </row>
    <row r="116" spans="22:25" x14ac:dyDescent="0.25">
      <c r="V116">
        <v>11.4</v>
      </c>
      <c r="W116">
        <f t="shared" si="3"/>
        <v>3.6570615220618636</v>
      </c>
      <c r="X116" s="4">
        <f t="shared" si="4"/>
        <v>-0.22359717771440568</v>
      </c>
      <c r="Y116" s="4">
        <f t="shared" si="5"/>
        <v>2.7949089375568191E-2</v>
      </c>
    </row>
    <row r="117" spans="22:25" x14ac:dyDescent="0.25">
      <c r="V117">
        <v>11.5</v>
      </c>
      <c r="W117">
        <f t="shared" si="3"/>
        <v>3.6348407050119205</v>
      </c>
      <c r="X117" s="4">
        <f t="shared" si="4"/>
        <v>-0.22082756647268481</v>
      </c>
      <c r="Y117" s="4">
        <f t="shared" si="5"/>
        <v>2.7444894087798048E-2</v>
      </c>
    </row>
    <row r="118" spans="22:25" x14ac:dyDescent="0.25">
      <c r="V118">
        <v>11.6</v>
      </c>
      <c r="W118">
        <f t="shared" si="3"/>
        <v>3.6128943455967484</v>
      </c>
      <c r="X118" s="4">
        <f t="shared" si="4"/>
        <v>-0.21810785113825717</v>
      </c>
      <c r="Y118" s="4">
        <f t="shared" si="5"/>
        <v>2.695113173215476E-2</v>
      </c>
    </row>
    <row r="119" spans="22:25" x14ac:dyDescent="0.25">
      <c r="V119">
        <v>11.7</v>
      </c>
      <c r="W119">
        <f t="shared" si="3"/>
        <v>3.5912175059974745</v>
      </c>
      <c r="X119" s="4">
        <f t="shared" si="4"/>
        <v>-0.21543700018030423</v>
      </c>
      <c r="Y119" s="4">
        <f t="shared" si="5"/>
        <v>2.646756792703674E-2</v>
      </c>
    </row>
    <row r="120" spans="22:25" x14ac:dyDescent="0.25">
      <c r="V120">
        <v>11.8</v>
      </c>
      <c r="W120">
        <f t="shared" si="3"/>
        <v>3.569805350385034</v>
      </c>
      <c r="X120" s="4">
        <f t="shared" si="4"/>
        <v>-0.21281400524751268</v>
      </c>
      <c r="Y120" s="4">
        <f t="shared" si="5"/>
        <v>2.5993973451533849E-2</v>
      </c>
    </row>
    <row r="121" spans="22:25" x14ac:dyDescent="0.25">
      <c r="V121">
        <v>11.9</v>
      </c>
      <c r="W121">
        <f t="shared" si="3"/>
        <v>3.5486531426278938</v>
      </c>
      <c r="X121" s="4">
        <f t="shared" si="4"/>
        <v>-0.21023788065577878</v>
      </c>
      <c r="Y121" s="4">
        <f t="shared" si="5"/>
        <v>2.5530124169465422E-2</v>
      </c>
    </row>
    <row r="122" spans="22:25" x14ac:dyDescent="0.25">
      <c r="V122">
        <v>12</v>
      </c>
      <c r="W122">
        <f t="shared" si="3"/>
        <v>3.5277562440506296</v>
      </c>
      <c r="X122" s="4">
        <f t="shared" si="4"/>
        <v>-0.20770766288365164</v>
      </c>
      <c r="Y122" s="4">
        <f t="shared" si="5"/>
        <v>2.50758009506062E-2</v>
      </c>
    </row>
    <row r="123" spans="22:25" x14ac:dyDescent="0.25">
      <c r="V123">
        <v>12.1</v>
      </c>
      <c r="W123">
        <f t="shared" si="3"/>
        <v>3.5071101112425516</v>
      </c>
      <c r="X123" s="4">
        <f t="shared" si="4"/>
        <v>-0.20522241007577674</v>
      </c>
      <c r="Y123" s="4">
        <f t="shared" si="5"/>
        <v>2.4630789589570892E-2</v>
      </c>
    </row>
    <row r="124" spans="22:25" x14ac:dyDescent="0.25">
      <c r="V124">
        <v>12.2</v>
      </c>
      <c r="W124">
        <f t="shared" si="3"/>
        <v>3.486710293915583</v>
      </c>
      <c r="X124" s="4">
        <f t="shared" si="4"/>
        <v>-0.2027812015545486</v>
      </c>
      <c r="Y124" s="4">
        <f t="shared" si="5"/>
        <v>2.4194880722782197E-2</v>
      </c>
    </row>
    <row r="125" spans="22:25" x14ac:dyDescent="0.25">
      <c r="V125">
        <v>12.3</v>
      </c>
      <c r="W125">
        <f t="shared" si="3"/>
        <v>3.4665524328105537</v>
      </c>
      <c r="X125" s="4">
        <f t="shared" si="4"/>
        <v>-0.20038313734014712</v>
      </c>
      <c r="Y125" s="4">
        <f t="shared" si="5"/>
        <v>2.3767869743906704E-2</v>
      </c>
    </row>
    <row r="126" spans="22:25" x14ac:dyDescent="0.25">
      <c r="V126">
        <v>12.4</v>
      </c>
      <c r="W126">
        <f t="shared" si="3"/>
        <v>3.446632257651066</v>
      </c>
      <c r="X126" s="4">
        <f t="shared" si="4"/>
        <v>-0.19802733767909242</v>
      </c>
      <c r="Y126" s="4">
        <f t="shared" si="5"/>
        <v>2.3349556718105166E-2</v>
      </c>
    </row>
    <row r="127" spans="22:25" x14ac:dyDescent="0.25">
      <c r="V127">
        <v>12.5</v>
      </c>
      <c r="W127">
        <f t="shared" si="3"/>
        <v>3.4269455851440753</v>
      </c>
      <c r="X127" s="4">
        <f t="shared" si="4"/>
        <v>-0.19571294258142008</v>
      </c>
      <c r="Y127" s="4">
        <f t="shared" si="5"/>
        <v>2.2939746295409392E-2</v>
      </c>
    </row>
    <row r="128" spans="22:25" x14ac:dyDescent="0.25">
      <c r="V128">
        <v>12.6</v>
      </c>
      <c r="W128">
        <f t="shared" si="3"/>
        <v>3.4074883170263148</v>
      </c>
      <c r="X128" s="4">
        <f t="shared" si="4"/>
        <v>-0.19343911136655098</v>
      </c>
      <c r="Y128" s="4">
        <f t="shared" si="5"/>
        <v>2.2538247623506986E-2</v>
      </c>
    </row>
    <row r="129" spans="22:25" x14ac:dyDescent="0.25">
      <c r="V129">
        <v>12.7</v>
      </c>
      <c r="W129">
        <f t="shared" si="3"/>
        <v>3.388256438155699</v>
      </c>
      <c r="X129" s="4">
        <f t="shared" si="4"/>
        <v>-0.191205022217902</v>
      </c>
      <c r="Y129" s="4">
        <f t="shared" si="5"/>
        <v>2.2144874260186284E-2</v>
      </c>
    </row>
    <row r="130" spans="22:25" x14ac:dyDescent="0.25">
      <c r="V130">
        <v>12.8</v>
      </c>
      <c r="W130">
        <f t="shared" si="3"/>
        <v>3.3692460146468326</v>
      </c>
      <c r="X130" s="4">
        <f t="shared" si="4"/>
        <v>-0.18900987174625894</v>
      </c>
      <c r="Y130" s="4">
        <f t="shared" si="5"/>
        <v>2.1759444085668024E-2</v>
      </c>
    </row>
    <row r="131" spans="22:25" x14ac:dyDescent="0.25">
      <c r="V131">
        <v>12.9</v>
      </c>
      <c r="W131">
        <f t="shared" ref="W131:W194" si="6">cfSab_mat(V131, $B$7:$E$11, $A$4:$E$4)</f>
        <v>3.3504531920497373</v>
      </c>
      <c r="X131" s="4">
        <f t="shared" ref="X131:X194" si="7">c_fSab_mat(V131, $B$7:$E$11, $A$4:$E$4)</f>
        <v>-0.18685287456191407</v>
      </c>
      <c r="Y131" s="4">
        <f t="shared" ref="Y131:Y194" si="8">c__fSab_mat(V131, $B$7:$E$11, $A$4:$E$4)</f>
        <v>2.138177921502641E-2</v>
      </c>
    </row>
    <row r="132" spans="22:25" x14ac:dyDescent="0.25">
      <c r="V132">
        <v>13</v>
      </c>
      <c r="W132">
        <f t="shared" si="6"/>
        <v>3.3318741935709273</v>
      </c>
      <c r="X132" s="4">
        <f t="shared" si="7"/>
        <v>-0.18473326285554892</v>
      </c>
      <c r="Y132" s="4">
        <f t="shared" si="8"/>
        <v>2.101170591088054E-2</v>
      </c>
    </row>
    <row r="133" spans="22:25" x14ac:dyDescent="0.25">
      <c r="V133">
        <v>13.1</v>
      </c>
      <c r="W133">
        <f t="shared" si="6"/>
        <v>3.3135053183359693</v>
      </c>
      <c r="X133" s="4">
        <f t="shared" si="7"/>
        <v>-0.18265028598782776</v>
      </c>
      <c r="Y133" s="4">
        <f t="shared" si="8"/>
        <v>2.0649054496517535E-2</v>
      </c>
    </row>
    <row r="134" spans="22:25" x14ac:dyDescent="0.25">
      <c r="V134">
        <v>13.2</v>
      </c>
      <c r="W134">
        <f t="shared" si="6"/>
        <v>3.2953429396926377</v>
      </c>
      <c r="X134" s="4">
        <f t="shared" si="7"/>
        <v>-0.18060321008765162</v>
      </c>
      <c r="Y134" s="4">
        <f t="shared" si="8"/>
        <v>2.0293659269590578E-2</v>
      </c>
    </row>
    <row r="135" spans="22:25" x14ac:dyDescent="0.25">
      <c r="V135">
        <v>13.3</v>
      </c>
      <c r="W135">
        <f t="shared" si="6"/>
        <v>3.2773835035538204</v>
      </c>
      <c r="X135" s="4">
        <f t="shared" si="7"/>
        <v>-0.17859131765900765</v>
      </c>
      <c r="Y135" s="4">
        <f t="shared" si="8"/>
        <v>1.9945358416518653E-2</v>
      </c>
    </row>
    <row r="136" spans="22:25" x14ac:dyDescent="0.25">
      <c r="V136">
        <v>13.4</v>
      </c>
      <c r="W136">
        <f t="shared" si="6"/>
        <v>3.2596235267793174</v>
      </c>
      <c r="X136" s="4">
        <f t="shared" si="7"/>
        <v>-0.17661390719633946</v>
      </c>
      <c r="Y136" s="4">
        <f t="shared" si="8"/>
        <v>1.9603993927699959E-2</v>
      </c>
    </row>
    <row r="137" spans="22:25" x14ac:dyDescent="0.25">
      <c r="V137">
        <v>13.5</v>
      </c>
      <c r="W137">
        <f t="shared" si="6"/>
        <v>3.242059595595669</v>
      </c>
      <c r="X137" s="4">
        <f t="shared" si="7"/>
        <v>-0.17467029280835045</v>
      </c>
      <c r="Y137" s="4">
        <f t="shared" si="8"/>
        <v>1.9269411513637178E-2</v>
      </c>
    </row>
    <row r="138" spans="22:25" x14ac:dyDescent="0.25">
      <c r="V138">
        <v>13.6</v>
      </c>
      <c r="W138">
        <f t="shared" si="6"/>
        <v>3.2246883640531947</v>
      </c>
      <c r="X138" s="4">
        <f t="shared" si="7"/>
        <v>-0.17275980385014611</v>
      </c>
      <c r="Y138" s="4">
        <f t="shared" si="8"/>
        <v>1.8941460522060565E-2</v>
      </c>
    </row>
    <row r="139" spans="22:25" x14ac:dyDescent="0.25">
      <c r="V139">
        <v>13.7</v>
      </c>
      <c r="W139">
        <f t="shared" si="6"/>
        <v>3.2075065525194</v>
      </c>
      <c r="X139" s="4">
        <f t="shared" si="7"/>
        <v>-0.17088178456361097</v>
      </c>
      <c r="Y139" s="4">
        <f t="shared" si="8"/>
        <v>1.8619993856123611E-2</v>
      </c>
    </row>
    <row r="140" spans="22:25" x14ac:dyDescent="0.25">
      <c r="V140">
        <v>13.8</v>
      </c>
      <c r="W140">
        <f t="shared" si="6"/>
        <v>3.1905109462079455</v>
      </c>
      <c r="X140" s="4">
        <f t="shared" si="7"/>
        <v>-0.16903559372590882</v>
      </c>
      <c r="Y140" s="4">
        <f t="shared" si="8"/>
        <v>1.8304867893735446E-2</v>
      </c>
    </row>
    <row r="141" spans="22:25" x14ac:dyDescent="0.25">
      <c r="V141">
        <v>13.9</v>
      </c>
      <c r="W141">
        <f t="shared" si="6"/>
        <v>3.1736983937423542</v>
      </c>
      <c r="X141" s="4">
        <f t="shared" si="7"/>
        <v>-0.16722060430599142</v>
      </c>
      <c r="Y141" s="4">
        <f t="shared" si="8"/>
        <v>1.7995942408085417E-2</v>
      </c>
    </row>
    <row r="142" spans="22:25" x14ac:dyDescent="0.25">
      <c r="V142">
        <v>14</v>
      </c>
      <c r="W142">
        <f t="shared" si="6"/>
        <v>3.1570658057536809</v>
      </c>
      <c r="X142" s="4">
        <f t="shared" si="7"/>
        <v>-0.16543620312899263</v>
      </c>
      <c r="Y142" s="4">
        <f t="shared" si="8"/>
        <v>1.7693080489406321E-2</v>
      </c>
    </row>
    <row r="143" spans="22:25" x14ac:dyDescent="0.25">
      <c r="V143">
        <v>14.1</v>
      </c>
      <c r="W143">
        <f t="shared" si="6"/>
        <v>3.14061015351135</v>
      </c>
      <c r="X143" s="4">
        <f t="shared" si="7"/>
        <v>-0.16368179054838311</v>
      </c>
      <c r="Y143" s="4">
        <f t="shared" si="8"/>
        <v>1.7396148468015609E-2</v>
      </c>
    </row>
    <row r="144" spans="22:25" x14ac:dyDescent="0.25">
      <c r="V144">
        <v>14.2</v>
      </c>
      <c r="W144">
        <f t="shared" si="6"/>
        <v>3.1243284675863983</v>
      </c>
      <c r="X144" s="4">
        <f t="shared" si="7"/>
        <v>-0.16195678012575479</v>
      </c>
      <c r="Y144" s="4">
        <f t="shared" si="8"/>
        <v>1.7105015838666388E-2</v>
      </c>
    </row>
    <row r="145" spans="22:25" x14ac:dyDescent="0.25">
      <c r="V145">
        <v>14.3</v>
      </c>
      <c r="W145">
        <f t="shared" si="6"/>
        <v>3.1082178365463551</v>
      </c>
      <c r="X145" s="4">
        <f t="shared" si="7"/>
        <v>-0.16026059831810474</v>
      </c>
      <c r="Y145" s="4">
        <f t="shared" si="8"/>
        <v>1.6819555186234535E-2</v>
      </c>
    </row>
    <row r="146" spans="22:25" x14ac:dyDescent="0.25">
      <c r="V146">
        <v>14.4</v>
      </c>
      <c r="W146">
        <f t="shared" si="6"/>
        <v>3.0922754056810331</v>
      </c>
      <c r="X146" s="4">
        <f t="shared" si="7"/>
        <v>-0.1585926841724819</v>
      </c>
      <c r="Y146" s="4">
        <f t="shared" si="8"/>
        <v>1.6539642112761779E-2</v>
      </c>
    </row>
    <row r="147" spans="22:25" x14ac:dyDescent="0.25">
      <c r="V147">
        <v>14.5</v>
      </c>
      <c r="W147">
        <f t="shared" si="6"/>
        <v>3.0764983757584909</v>
      </c>
      <c r="X147" s="4">
        <f t="shared" si="7"/>
        <v>-0.15695248902786105</v>
      </c>
      <c r="Y147" s="4">
        <f t="shared" si="8"/>
        <v>1.6265155165870137E-2</v>
      </c>
    </row>
    <row r="148" spans="22:25" x14ac:dyDescent="0.25">
      <c r="V148">
        <v>14.6</v>
      </c>
      <c r="W148">
        <f t="shared" si="6"/>
        <v>3.0608840018104497</v>
      </c>
      <c r="X148" s="4">
        <f t="shared" si="7"/>
        <v>-0.15533947622410679</v>
      </c>
      <c r="Y148" s="4">
        <f t="shared" si="8"/>
        <v>1.5995975768558164E-2</v>
      </c>
    </row>
    <row r="149" spans="22:25" x14ac:dyDescent="0.25">
      <c r="V149">
        <v>14.7</v>
      </c>
      <c r="W149">
        <f t="shared" si="6"/>
        <v>3.045429591946462</v>
      </c>
      <c r="X149" s="4">
        <f t="shared" si="7"/>
        <v>-0.15375312081788811</v>
      </c>
      <c r="Y149" s="4">
        <f t="shared" si="8"/>
        <v>1.5731988150385377E-2</v>
      </c>
    </row>
    <row r="150" spans="22:25" x14ac:dyDescent="0.25">
      <c r="V150">
        <v>14.8</v>
      </c>
      <c r="W150">
        <f t="shared" si="6"/>
        <v>3.030132506196157</v>
      </c>
      <c r="X150" s="4">
        <f t="shared" si="7"/>
        <v>-0.15219290930540508</v>
      </c>
      <c r="Y150" s="4">
        <f t="shared" si="8"/>
        <v>1.5473079280047578E-2</v>
      </c>
    </row>
    <row r="151" spans="22:25" x14ac:dyDescent="0.25">
      <c r="V151">
        <v>14.9</v>
      </c>
      <c r="W151">
        <f t="shared" si="6"/>
        <v>3.0149901553788667</v>
      </c>
      <c r="X151" s="4">
        <f t="shared" si="7"/>
        <v>-0.15065833935178896</v>
      </c>
      <c r="Y151" s="4">
        <f t="shared" si="8"/>
        <v>1.5219138799342488E-2</v>
      </c>
    </row>
    <row r="152" spans="22:25" x14ac:dyDescent="0.25">
      <c r="V152">
        <v>15</v>
      </c>
      <c r="W152">
        <f t="shared" si="6"/>
        <v>3.0000000000000129</v>
      </c>
      <c r="X152" s="4">
        <f t="shared" si="7"/>
        <v>-0.1491489195270351</v>
      </c>
      <c r="Y152" s="4">
        <f t="shared" si="8"/>
        <v>1.2321398303247987E-2</v>
      </c>
    </row>
    <row r="153" spans="22:25" x14ac:dyDescent="0.25">
      <c r="V153">
        <v>15.1</v>
      </c>
      <c r="W153">
        <f t="shared" si="6"/>
        <v>2.9851464658628135</v>
      </c>
      <c r="X153" s="4">
        <f t="shared" si="7"/>
        <v>-0.14792424471745763</v>
      </c>
      <c r="Y153" s="4">
        <f t="shared" si="8"/>
        <v>1.217250740779055E-2</v>
      </c>
    </row>
    <row r="154" spans="22:25" x14ac:dyDescent="0.25">
      <c r="V154">
        <v>15.2</v>
      </c>
      <c r="W154">
        <f t="shared" si="6"/>
        <v>2.9704146588258014</v>
      </c>
      <c r="X154" s="4">
        <f t="shared" si="7"/>
        <v>-0.14671433700034001</v>
      </c>
      <c r="Y154" s="4">
        <f t="shared" si="8"/>
        <v>1.2026047910663591E-2</v>
      </c>
    </row>
    <row r="155" spans="22:25" x14ac:dyDescent="0.25">
      <c r="V155">
        <v>15.3</v>
      </c>
      <c r="W155">
        <f t="shared" si="6"/>
        <v>2.9558031142518377</v>
      </c>
      <c r="X155" s="4">
        <f t="shared" si="7"/>
        <v>-0.14551895577695736</v>
      </c>
      <c r="Y155" s="4">
        <f t="shared" si="8"/>
        <v>1.1881969207445308E-2</v>
      </c>
    </row>
    <row r="156" spans="22:25" x14ac:dyDescent="0.25">
      <c r="V156">
        <v>15.4</v>
      </c>
      <c r="W156">
        <f t="shared" si="6"/>
        <v>2.9413103913127938</v>
      </c>
      <c r="X156" s="4">
        <f t="shared" si="7"/>
        <v>-0.14433786544436603</v>
      </c>
      <c r="Y156" s="4">
        <f t="shared" si="8"/>
        <v>1.1740221980366795E-2</v>
      </c>
    </row>
    <row r="157" spans="22:25" x14ac:dyDescent="0.25">
      <c r="V157">
        <v>15.5</v>
      </c>
      <c r="W157">
        <f t="shared" si="6"/>
        <v>2.9269350724963403</v>
      </c>
      <c r="X157" s="4">
        <f t="shared" si="7"/>
        <v>-0.14317083526868543</v>
      </c>
      <c r="Y157" s="4">
        <f t="shared" si="8"/>
        <v>1.1600758159594096E-2</v>
      </c>
    </row>
    <row r="158" spans="22:25" x14ac:dyDescent="0.25">
      <c r="V158">
        <v>15.6</v>
      </c>
      <c r="W158">
        <f t="shared" si="6"/>
        <v>2.9126757631252227</v>
      </c>
      <c r="X158" s="4">
        <f t="shared" si="7"/>
        <v>-0.14201763926218425</v>
      </c>
      <c r="Y158" s="4">
        <f t="shared" si="8"/>
        <v>1.1463530885855824E-2</v>
      </c>
    </row>
    <row r="159" spans="22:25" x14ac:dyDescent="0.25">
      <c r="V159">
        <v>15.7</v>
      </c>
      <c r="W159">
        <f t="shared" si="6"/>
        <v>2.8985310908886373</v>
      </c>
      <c r="X159" s="4">
        <f t="shared" si="7"/>
        <v>-0.14087805606403883</v>
      </c>
      <c r="Y159" s="4">
        <f t="shared" si="8"/>
        <v>1.1328494474363406E-2</v>
      </c>
    </row>
    <row r="160" spans="22:25" x14ac:dyDescent="0.25">
      <c r="V160">
        <v>15.8</v>
      </c>
      <c r="W160">
        <f t="shared" si="6"/>
        <v>2.8844997053853452</v>
      </c>
      <c r="X160" s="4">
        <f t="shared" si="7"/>
        <v>-0.13975186882463683</v>
      </c>
      <c r="Y160" s="4">
        <f t="shared" si="8"/>
        <v>1.119560437997325E-2</v>
      </c>
    </row>
    <row r="161" spans="22:25" x14ac:dyDescent="0.25">
      <c r="V161">
        <v>15.9</v>
      </c>
      <c r="W161">
        <f t="shared" si="6"/>
        <v>2.8705802776782061</v>
      </c>
      <c r="X161" s="4">
        <f t="shared" si="7"/>
        <v>-0.13863886509330481</v>
      </c>
      <c r="Y161" s="4">
        <f t="shared" si="8"/>
        <v>1.1064817163542516E-2</v>
      </c>
    </row>
    <row r="162" spans="22:25" x14ac:dyDescent="0.25">
      <c r="V162">
        <v>16</v>
      </c>
      <c r="W162">
        <f t="shared" si="6"/>
        <v>2.8567714998597542</v>
      </c>
      <c r="X162" s="4">
        <f t="shared" si="7"/>
        <v>-0.13753883670934211</v>
      </c>
      <c r="Y162" s="4">
        <f t="shared" si="8"/>
        <v>1.0936090459432012E-2</v>
      </c>
    </row>
    <row r="163" spans="22:25" x14ac:dyDescent="0.25">
      <c r="V163">
        <v>16.100000000000001</v>
      </c>
      <c r="W163">
        <f t="shared" si="6"/>
        <v>2.8430720846285089</v>
      </c>
      <c r="X163" s="4">
        <f t="shared" si="7"/>
        <v>-0.13645157969624949</v>
      </c>
      <c r="Y163" s="4">
        <f t="shared" si="8"/>
        <v>1.0809382944112099E-2</v>
      </c>
    </row>
    <row r="164" spans="22:25" x14ac:dyDescent="0.25">
      <c r="V164">
        <v>16.2</v>
      </c>
      <c r="W164">
        <f t="shared" si="6"/>
        <v>2.8294807648757319</v>
      </c>
      <c r="X164" s="4">
        <f t="shared" si="7"/>
        <v>-0.13537689415904328</v>
      </c>
      <c r="Y164" s="4">
        <f t="shared" si="8"/>
        <v>1.0684654305829017E-2</v>
      </c>
    </row>
    <row r="165" spans="22:25" x14ac:dyDescent="0.25">
      <c r="V165">
        <v>16.3</v>
      </c>
      <c r="W165">
        <f t="shared" si="6"/>
        <v>2.81599629328226</v>
      </c>
      <c r="X165" s="4">
        <f t="shared" si="7"/>
        <v>-0.13431458418455217</v>
      </c>
      <c r="Y165" s="4">
        <f t="shared" si="8"/>
        <v>1.0561865215291139E-2</v>
      </c>
    </row>
    <row r="166" spans="22:25" x14ac:dyDescent="0.25">
      <c r="V166">
        <v>16.399999999999999</v>
      </c>
      <c r="W166">
        <f t="shared" si="6"/>
        <v>2.8026174419252148</v>
      </c>
      <c r="X166" s="4">
        <f t="shared" si="7"/>
        <v>-0.13326445774459525</v>
      </c>
      <c r="Y166" s="4">
        <f t="shared" si="8"/>
        <v>1.0440977297336285E-2</v>
      </c>
    </row>
    <row r="167" spans="22:25" x14ac:dyDescent="0.25">
      <c r="V167">
        <v>16.5</v>
      </c>
      <c r="W167">
        <f t="shared" si="6"/>
        <v>2.7893430018942098</v>
      </c>
      <c r="X167" s="4">
        <f t="shared" si="7"/>
        <v>-0.13222632660194633</v>
      </c>
      <c r="Y167" s="4">
        <f t="shared" si="8"/>
        <v>1.0321953103542836E-2</v>
      </c>
    </row>
    <row r="168" spans="22:25" x14ac:dyDescent="0.25">
      <c r="V168">
        <v>16.600000000000001</v>
      </c>
      <c r="W168">
        <f t="shared" si="6"/>
        <v>2.776171782916848</v>
      </c>
      <c r="X168" s="4">
        <f t="shared" si="7"/>
        <v>-0.13120000621899172</v>
      </c>
      <c r="Y168" s="4">
        <f t="shared" si="8"/>
        <v>1.0204756085749139E-2</v>
      </c>
    </row>
    <row r="169" spans="22:25" x14ac:dyDescent="0.25">
      <c r="V169">
        <v>16.7</v>
      </c>
      <c r="W169">
        <f t="shared" si="6"/>
        <v>2.7631026129932286</v>
      </c>
      <c r="X169" s="4">
        <f t="shared" si="7"/>
        <v>-0.13018531566899105</v>
      </c>
      <c r="Y169" s="4">
        <f t="shared" si="8"/>
        <v>1.0089350570446895E-2</v>
      </c>
    </row>
    <row r="170" spans="22:25" x14ac:dyDescent="0.25">
      <c r="V170">
        <v>16.8</v>
      </c>
      <c r="W170">
        <f t="shared" si="6"/>
        <v>2.7501343380391772</v>
      </c>
      <c r="X170" s="4">
        <f t="shared" si="7"/>
        <v>-0.12918207754985755</v>
      </c>
      <c r="Y170" s="4">
        <f t="shared" si="8"/>
        <v>9.97570173401598E-3</v>
      </c>
    </row>
    <row r="171" spans="22:25" x14ac:dyDescent="0.25">
      <c r="V171">
        <v>16.899999999999999</v>
      </c>
      <c r="W171">
        <f t="shared" si="6"/>
        <v>2.737265821538001</v>
      </c>
      <c r="X171" s="4">
        <f t="shared" si="7"/>
        <v>-0.12819011790037355</v>
      </c>
      <c r="Y171" s="4">
        <f t="shared" si="8"/>
        <v>9.8637755787693276E-3</v>
      </c>
    </row>
    <row r="172" spans="22:25" x14ac:dyDescent="0.25">
      <c r="V172">
        <v>17</v>
      </c>
      <c r="W172">
        <f t="shared" si="6"/>
        <v>2.7244959442004846</v>
      </c>
      <c r="X172" s="4">
        <f t="shared" si="7"/>
        <v>-0.12720926611876213</v>
      </c>
      <c r="Y172" s="4">
        <f t="shared" si="8"/>
        <v>9.7535389097777644E-3</v>
      </c>
    </row>
    <row r="173" spans="22:25" x14ac:dyDescent="0.25">
      <c r="V173">
        <v>17.100000000000001</v>
      </c>
      <c r="W173">
        <f t="shared" si="6"/>
        <v>2.7118236036329271</v>
      </c>
      <c r="X173" s="4">
        <f t="shared" si="7"/>
        <v>-0.12623935488353882</v>
      </c>
      <c r="Y173" s="4">
        <f t="shared" si="8"/>
        <v>9.6449593124461226E-3</v>
      </c>
    </row>
    <row r="174" spans="22:25" x14ac:dyDescent="0.25">
      <c r="V174">
        <v>17.2</v>
      </c>
      <c r="W174">
        <f t="shared" si="6"/>
        <v>2.6992477140129782</v>
      </c>
      <c r="X174" s="4">
        <f t="shared" si="7"/>
        <v>-0.12528022007656914</v>
      </c>
      <c r="Y174" s="4">
        <f t="shared" si="8"/>
        <v>9.538005130812939E-3</v>
      </c>
    </row>
    <row r="175" spans="22:25" x14ac:dyDescent="0.25">
      <c r="V175">
        <v>17.3</v>
      </c>
      <c r="W175">
        <f t="shared" si="6"/>
        <v>2.6867672057730543</v>
      </c>
      <c r="X175" s="4">
        <f t="shared" si="7"/>
        <v>-0.1243317007082609</v>
      </c>
      <c r="Y175" s="4">
        <f t="shared" si="8"/>
        <v>9.4326454465473008E-3</v>
      </c>
    </row>
    <row r="176" spans="22:25" x14ac:dyDescent="0.25">
      <c r="V176">
        <v>17.399999999999999</v>
      </c>
      <c r="W176">
        <f t="shared" si="6"/>
        <v>2.674381025291146</v>
      </c>
      <c r="X176" s="4">
        <f t="shared" si="7"/>
        <v>-0.12339363884482356</v>
      </c>
      <c r="Y176" s="4">
        <f t="shared" si="8"/>
        <v>9.3288500586174664E-3</v>
      </c>
    </row>
    <row r="177" spans="22:25" x14ac:dyDescent="0.25">
      <c r="V177">
        <v>17.5</v>
      </c>
      <c r="W177">
        <f t="shared" si="6"/>
        <v>2.6620881345887897</v>
      </c>
      <c r="X177" s="4">
        <f t="shared" si="7"/>
        <v>-0.12246587953752729</v>
      </c>
      <c r="Y177" s="4">
        <f t="shared" si="8"/>
        <v>9.2265894636068511E-3</v>
      </c>
    </row>
    <row r="178" spans="22:25" x14ac:dyDescent="0.25">
      <c r="V178">
        <v>17.600000000000001</v>
      </c>
      <c r="W178">
        <f t="shared" si="6"/>
        <v>2.6498875110360167</v>
      </c>
      <c r="X178" s="4">
        <f t="shared" si="7"/>
        <v>-0.12154827075390026</v>
      </c>
      <c r="Y178" s="4">
        <f t="shared" si="8"/>
        <v>9.1258348366540856E-3</v>
      </c>
    </row>
    <row r="179" spans="22:25" x14ac:dyDescent="0.25">
      <c r="V179">
        <v>17.7</v>
      </c>
      <c r="W179">
        <f t="shared" si="6"/>
        <v>2.6377781470630861</v>
      </c>
      <c r="X179" s="4">
        <f t="shared" si="7"/>
        <v>-0.12064066331080027</v>
      </c>
      <c r="Y179" s="4">
        <f t="shared" si="8"/>
        <v>9.0265580129946094E-3</v>
      </c>
    </row>
    <row r="180" spans="22:25" x14ac:dyDescent="0.25">
      <c r="V180">
        <v>17.8</v>
      </c>
      <c r="W180">
        <f t="shared" si="6"/>
        <v>2.6257590498788277</v>
      </c>
      <c r="X180" s="4">
        <f t="shared" si="7"/>
        <v>-0.11974291080930399</v>
      </c>
      <c r="Y180" s="4">
        <f t="shared" si="8"/>
        <v>8.9287314700823538E-3</v>
      </c>
    </row>
    <row r="181" spans="22:25" x14ac:dyDescent="0.25">
      <c r="V181">
        <v>17.899999999999999</v>
      </c>
      <c r="W181">
        <f t="shared" si="6"/>
        <v>2.6138292411953952</v>
      </c>
      <c r="X181" s="4">
        <f t="shared" si="7"/>
        <v>-0.11885486957135602</v>
      </c>
      <c r="Y181" s="4">
        <f t="shared" si="8"/>
        <v>8.8323283102708684E-3</v>
      </c>
    </row>
    <row r="182" spans="22:25" x14ac:dyDescent="0.25">
      <c r="V182">
        <v>18</v>
      </c>
      <c r="W182">
        <f t="shared" si="6"/>
        <v>2.6019877569592857</v>
      </c>
      <c r="X182" s="4">
        <f t="shared" si="7"/>
        <v>-0.11797639857812159</v>
      </c>
      <c r="Y182" s="4">
        <f t="shared" si="8"/>
        <v>8.7373222440338891E-3</v>
      </c>
    </row>
    <row r="183" spans="22:25" x14ac:dyDescent="0.25">
      <c r="V183">
        <v>18.100000000000001</v>
      </c>
      <c r="W183">
        <f t="shared" si="6"/>
        <v>2.5902336470884233</v>
      </c>
      <c r="X183" s="4">
        <f t="shared" si="7"/>
        <v>-0.11710735940999228</v>
      </c>
      <c r="Y183" s="4">
        <f t="shared" si="8"/>
        <v>8.643687573706503E-3</v>
      </c>
    </row>
    <row r="184" spans="22:25" x14ac:dyDescent="0.25">
      <c r="V184">
        <v>18.2</v>
      </c>
      <c r="W184">
        <f t="shared" si="6"/>
        <v>2.5785659752151697</v>
      </c>
      <c r="X184" s="4">
        <f t="shared" si="7"/>
        <v>-0.11624761618819177</v>
      </c>
      <c r="Y184" s="4">
        <f t="shared" si="8"/>
        <v>8.5513991777284304E-3</v>
      </c>
    </row>
    <row r="185" spans="22:25" x14ac:dyDescent="0.25">
      <c r="V185">
        <v>18.3</v>
      </c>
      <c r="W185">
        <f t="shared" si="6"/>
        <v>2.566983818435097</v>
      </c>
      <c r="X185" s="4">
        <f t="shared" si="7"/>
        <v>-0.11539703551793257</v>
      </c>
      <c r="Y185" s="4">
        <f t="shared" si="8"/>
        <v>8.460432495371888E-3</v>
      </c>
    </row>
    <row r="186" spans="22:25" x14ac:dyDescent="0.25">
      <c r="V186">
        <v>18.399999999999999</v>
      </c>
      <c r="W186">
        <f t="shared" si="6"/>
        <v>2.5554862670613758</v>
      </c>
      <c r="X186" s="4">
        <f t="shared" si="7"/>
        <v>-0.11455548643307736</v>
      </c>
      <c r="Y186" s="4">
        <f t="shared" si="8"/>
        <v>8.3707635119372112E-3</v>
      </c>
    </row>
    <row r="187" spans="22:25" x14ac:dyDescent="0.25">
      <c r="V187">
        <v>18.5</v>
      </c>
      <c r="W187">
        <f t="shared" si="6"/>
        <v>2.5440724243845962</v>
      </c>
      <c r="X187" s="4">
        <f t="shared" si="7"/>
        <v>-0.1137228403422571</v>
      </c>
      <c r="Y187" s="4">
        <f t="shared" si="8"/>
        <v>8.2823687443998248E-3</v>
      </c>
    </row>
    <row r="188" spans="22:25" x14ac:dyDescent="0.25">
      <c r="V188">
        <v>18.600000000000001</v>
      </c>
      <c r="W188">
        <f t="shared" si="6"/>
        <v>2.5327414064379483</v>
      </c>
      <c r="X188" s="4">
        <f t="shared" si="7"/>
        <v>-0.11289897097640327</v>
      </c>
      <c r="Y188" s="4">
        <f t="shared" si="8"/>
        <v>8.1952252274931515E-3</v>
      </c>
    </row>
    <row r="189" spans="22:25" x14ac:dyDescent="0.25">
      <c r="V189">
        <v>18.7</v>
      </c>
      <c r="W189">
        <f t="shared" si="6"/>
        <v>2.5214923417675457</v>
      </c>
      <c r="X189" s="4">
        <f t="shared" si="7"/>
        <v>-0.11208375433765</v>
      </c>
      <c r="Y189" s="4">
        <f t="shared" si="8"/>
        <v>8.1093105002122551E-3</v>
      </c>
    </row>
    <row r="190" spans="22:25" x14ac:dyDescent="0.25">
      <c r="V190">
        <v>18.8</v>
      </c>
      <c r="W190">
        <f t="shared" si="6"/>
        <v>2.5103243712078109</v>
      </c>
      <c r="X190" s="4">
        <f t="shared" si="7"/>
        <v>-0.11127706864956596</v>
      </c>
      <c r="Y190" s="4">
        <f t="shared" si="8"/>
        <v>8.024602592723926E-3</v>
      </c>
    </row>
    <row r="191" spans="22:25" x14ac:dyDescent="0.25">
      <c r="V191">
        <v>18.899999999999999</v>
      </c>
      <c r="W191">
        <f t="shared" si="6"/>
        <v>2.4992366476617547</v>
      </c>
      <c r="X191" s="4">
        <f t="shared" si="7"/>
        <v>-0.11047879430867531</v>
      </c>
      <c r="Y191" s="4">
        <f t="shared" si="8"/>
        <v>7.9410800136692911E-3</v>
      </c>
    </row>
    <row r="192" spans="22:25" x14ac:dyDescent="0.25">
      <c r="V192">
        <v>19</v>
      </c>
      <c r="W192">
        <f t="shared" si="6"/>
        <v>2.4882283358860713</v>
      </c>
      <c r="X192" s="4">
        <f t="shared" si="7"/>
        <v>-0.10968881383722903</v>
      </c>
      <c r="Y192" s="4">
        <f t="shared" si="8"/>
        <v>7.8587217378455424E-3</v>
      </c>
    </row>
    <row r="193" spans="22:25" x14ac:dyDescent="0.25">
      <c r="V193">
        <v>19.100000000000001</v>
      </c>
      <c r="W193">
        <f t="shared" si="6"/>
        <v>2.4772986122808551</v>
      </c>
      <c r="X193" s="4">
        <f t="shared" si="7"/>
        <v>-0.1089070118371902</v>
      </c>
      <c r="Y193" s="4">
        <f t="shared" si="8"/>
        <v>7.7775071942540498E-3</v>
      </c>
    </row>
    <row r="194" spans="22:25" x14ac:dyDescent="0.25">
      <c r="V194">
        <v>19.2</v>
      </c>
      <c r="W194">
        <f t="shared" si="6"/>
        <v>2.4664466646839038</v>
      </c>
      <c r="X194" s="4">
        <f t="shared" si="7"/>
        <v>-0.10813327494539615</v>
      </c>
      <c r="Y194" s="4">
        <f t="shared" si="8"/>
        <v>7.6974162545023891E-3</v>
      </c>
    </row>
    <row r="195" spans="22:25" x14ac:dyDescent="0.25">
      <c r="V195">
        <v>19.3</v>
      </c>
      <c r="W195">
        <f t="shared" ref="W195:W232" si="9">cfSab_mat(V195, $B$7:$E$11, $A$4:$E$4)</f>
        <v>2.4556716921694011</v>
      </c>
      <c r="X195" s="4">
        <f t="shared" ref="X195:X232" si="10">c_fSab_mat(V195, $B$7:$E$11, $A$4:$E$4)</f>
        <v>-0.10736749178986353</v>
      </c>
      <c r="Y195" s="4">
        <f t="shared" ref="Y195:Y232" si="11">c__fSab_mat(V195, $B$7:$E$11, $A$4:$E$4)</f>
        <v>7.6184292215484752E-3</v>
      </c>
    </row>
    <row r="196" spans="22:25" x14ac:dyDescent="0.25">
      <c r="V196">
        <v>19.399999999999999</v>
      </c>
      <c r="W196">
        <f t="shared" si="9"/>
        <v>2.4449729048509541</v>
      </c>
      <c r="X196" s="4">
        <f t="shared" si="10"/>
        <v>-0.1066095529472024</v>
      </c>
      <c r="Y196" s="4">
        <f t="shared" si="11"/>
        <v>7.5405268187753423E-3</v>
      </c>
    </row>
    <row r="197" spans="22:25" x14ac:dyDescent="0.25">
      <c r="V197">
        <v>19.5</v>
      </c>
      <c r="W197">
        <f t="shared" si="9"/>
        <v>2.4343495236888151</v>
      </c>
      <c r="X197" s="4">
        <f t="shared" si="10"/>
        <v>-0.10585935090110624</v>
      </c>
      <c r="Y197" s="4">
        <f t="shared" si="11"/>
        <v>7.4636901793855006E-3</v>
      </c>
    </row>
    <row r="198" spans="22:25" x14ac:dyDescent="0.25">
      <c r="V198">
        <v>19.600000000000001</v>
      </c>
      <c r="W198">
        <f t="shared" si="9"/>
        <v>2.4238007803012009</v>
      </c>
      <c r="X198" s="4">
        <f t="shared" si="10"/>
        <v>-0.10511678000188775</v>
      </c>
      <c r="Y198" s="4">
        <f t="shared" si="11"/>
        <v>7.3879008361043587E-3</v>
      </c>
    </row>
    <row r="199" spans="22:25" x14ac:dyDescent="0.25">
      <c r="V199">
        <v>19.7</v>
      </c>
      <c r="W199">
        <f t="shared" si="9"/>
        <v>2.4133259167796131</v>
      </c>
      <c r="X199" s="4">
        <f t="shared" si="10"/>
        <v>-0.10438173642702872</v>
      </c>
      <c r="Y199" s="4">
        <f t="shared" si="11"/>
        <v>7.3131407111824117E-3</v>
      </c>
    </row>
    <row r="200" spans="22:25" x14ac:dyDescent="0.25">
      <c r="V200">
        <v>19.8</v>
      </c>
      <c r="W200">
        <f t="shared" si="9"/>
        <v>2.4029241855080556</v>
      </c>
      <c r="X200" s="4">
        <f t="shared" si="10"/>
        <v>-0.10365411814271523</v>
      </c>
      <c r="Y200" s="4">
        <f t="shared" si="11"/>
        <v>7.2393921066863888E-3</v>
      </c>
    </row>
    <row r="201" spans="22:25" x14ac:dyDescent="0.25">
      <c r="V201">
        <v>19.899999999999999</v>
      </c>
      <c r="W201">
        <f t="shared" si="9"/>
        <v>2.3925948489860431</v>
      </c>
      <c r="X201" s="4">
        <f t="shared" si="10"/>
        <v>-0.10293382486633015</v>
      </c>
      <c r="Y201" s="4">
        <f t="shared" si="11"/>
        <v>7.1666376950699443E-3</v>
      </c>
    </row>
    <row r="202" spans="22:25" x14ac:dyDescent="0.25">
      <c r="V202">
        <v>20</v>
      </c>
      <c r="W202">
        <f t="shared" si="9"/>
        <v>2.3823371796553241</v>
      </c>
      <c r="X202" s="4">
        <f t="shared" si="10"/>
        <v>-0.10222075802987401</v>
      </c>
      <c r="Y202" s="4">
        <f t="shared" si="11"/>
        <v>7.0948605100146353E-3</v>
      </c>
    </row>
    <row r="203" spans="22:25" x14ac:dyDescent="0.25">
      <c r="V203">
        <v>20.100000000000001</v>
      </c>
      <c r="W203">
        <f t="shared" si="9"/>
        <v>2.3721504597301979</v>
      </c>
      <c r="X203" s="4">
        <f t="shared" si="10"/>
        <v>-0.10151482074428993</v>
      </c>
      <c r="Y203" s="4">
        <f t="shared" si="11"/>
        <v>7.0240439375325592E-3</v>
      </c>
    </row>
    <row r="204" spans="22:25" x14ac:dyDescent="0.25">
      <c r="V204">
        <v>20.2</v>
      </c>
      <c r="W204">
        <f t="shared" si="9"/>
        <v>2.3620339810313888</v>
      </c>
      <c r="X204" s="4">
        <f t="shared" si="10"/>
        <v>-0.1008159177646643</v>
      </c>
      <c r="Y204" s="4">
        <f t="shared" si="11"/>
        <v>6.9541717073220242E-3</v>
      </c>
    </row>
    <row r="205" spans="22:25" x14ac:dyDescent="0.25">
      <c r="V205">
        <v>20.3</v>
      </c>
      <c r="W205">
        <f t="shared" si="9"/>
        <v>2.3519870448233102</v>
      </c>
      <c r="X205" s="4">
        <f t="shared" si="10"/>
        <v>-0.10012395545628042</v>
      </c>
      <c r="Y205" s="4">
        <f t="shared" si="11"/>
        <v>6.8852278843681792E-3</v>
      </c>
    </row>
    <row r="206" spans="22:25" x14ac:dyDescent="0.25">
      <c r="V206">
        <v>20.399999999999999</v>
      </c>
      <c r="W206">
        <f t="shared" si="9"/>
        <v>2.3420089616547295</v>
      </c>
      <c r="X206" s="4">
        <f t="shared" si="10"/>
        <v>-9.9438841761499766E-2</v>
      </c>
      <c r="Y206" s="4">
        <f t="shared" si="11"/>
        <v>6.8171968607807082E-3</v>
      </c>
    </row>
    <row r="207" spans="22:25" x14ac:dyDescent="0.25">
      <c r="V207">
        <v>20.5</v>
      </c>
      <c r="W207">
        <f t="shared" si="9"/>
        <v>2.3320990512026678</v>
      </c>
      <c r="X207" s="4">
        <f t="shared" si="10"/>
        <v>-9.8760486167448064E-2</v>
      </c>
      <c r="Y207" s="4">
        <f t="shared" si="11"/>
        <v>6.7500633478609863E-3</v>
      </c>
    </row>
    <row r="208" spans="22:25" x14ac:dyDescent="0.25">
      <c r="V208">
        <v>20.6</v>
      </c>
      <c r="W208">
        <f t="shared" si="9"/>
        <v>2.3222566421195165</v>
      </c>
      <c r="X208" s="4">
        <f t="shared" si="10"/>
        <v>-9.8088799674483598E-2</v>
      </c>
      <c r="Y208" s="4">
        <f t="shared" si="11"/>
        <v>6.6838123683914006E-3</v>
      </c>
    </row>
    <row r="209" spans="22:25" x14ac:dyDescent="0.25">
      <c r="V209">
        <v>20.7</v>
      </c>
      <c r="W209">
        <f t="shared" si="9"/>
        <v>2.3124810718832545</v>
      </c>
      <c r="X209" s="4">
        <f t="shared" si="10"/>
        <v>-9.7423694765425492E-2</v>
      </c>
      <c r="Y209" s="4">
        <f t="shared" si="11"/>
        <v>6.618429249139763E-3</v>
      </c>
    </row>
    <row r="210" spans="22:25" x14ac:dyDescent="0.25">
      <c r="V210">
        <v>20.8</v>
      </c>
      <c r="W210">
        <f t="shared" si="9"/>
        <v>2.3027716866507077</v>
      </c>
      <c r="X210" s="4">
        <f t="shared" si="10"/>
        <v>-9.6765085375521295E-2</v>
      </c>
      <c r="Y210" s="4">
        <f t="shared" si="11"/>
        <v>6.5538996135720024E-3</v>
      </c>
    </row>
    <row r="211" spans="22:25" x14ac:dyDescent="0.25">
      <c r="V211">
        <v>20.9</v>
      </c>
      <c r="W211">
        <f t="shared" si="9"/>
        <v>2.2931278411137828</v>
      </c>
      <c r="X211" s="4">
        <f t="shared" si="10"/>
        <v>-9.6112886863133129E-2</v>
      </c>
      <c r="Y211" s="4">
        <f t="shared" si="11"/>
        <v>6.4902093747666017E-3</v>
      </c>
    </row>
    <row r="212" spans="22:25" x14ac:dyDescent="0.25">
      <c r="V212">
        <v>21</v>
      </c>
      <c r="W212">
        <f t="shared" si="9"/>
        <v>2.2835488983585877</v>
      </c>
      <c r="X212" s="4">
        <f t="shared" si="10"/>
        <v>-9.5467015981122547E-2</v>
      </c>
      <c r="Y212" s="4">
        <f t="shared" si="11"/>
        <v>6.4273447285244194E-3</v>
      </c>
    </row>
    <row r="213" spans="22:25" x14ac:dyDescent="0.25">
      <c r="V213">
        <v>21.1</v>
      </c>
      <c r="W213">
        <f t="shared" si="9"/>
        <v>2.2740342297273859</v>
      </c>
      <c r="X213" s="4">
        <f t="shared" si="10"/>
        <v>-9.4827390848914797E-2</v>
      </c>
      <c r="Y213" s="4">
        <f t="shared" si="11"/>
        <v>6.3652921466677932E-3</v>
      </c>
    </row>
    <row r="214" spans="22:25" x14ac:dyDescent="0.25">
      <c r="V214">
        <v>21.2</v>
      </c>
      <c r="W214">
        <f t="shared" si="9"/>
        <v>2.264583214683312</v>
      </c>
      <c r="X214" s="4">
        <f t="shared" si="10"/>
        <v>-9.4193930925224323E-2</v>
      </c>
      <c r="Y214" s="4">
        <f t="shared" si="11"/>
        <v>6.3040383705230234E-3</v>
      </c>
    </row>
    <row r="215" spans="22:25" x14ac:dyDescent="0.25">
      <c r="V215">
        <v>21.3</v>
      </c>
      <c r="W215">
        <f t="shared" si="9"/>
        <v>2.2551952406777747</v>
      </c>
      <c r="X215" s="4">
        <f t="shared" si="10"/>
        <v>-9.3566556981422327E-2</v>
      </c>
      <c r="Y215" s="4">
        <f t="shared" si="11"/>
        <v>6.2435704045805292E-3</v>
      </c>
    </row>
    <row r="216" spans="22:25" x14ac:dyDescent="0.25">
      <c r="V216">
        <v>21.4</v>
      </c>
      <c r="W216">
        <f t="shared" si="9"/>
        <v>2.2458697030204986</v>
      </c>
      <c r="X216" s="4">
        <f t="shared" si="10"/>
        <v>-9.2945191075530759E-2</v>
      </c>
      <c r="Y216" s="4">
        <f t="shared" si="11"/>
        <v>6.1838755103272476E-3</v>
      </c>
    </row>
    <row r="217" spans="22:25" x14ac:dyDescent="0.25">
      <c r="V217">
        <v>21.5</v>
      </c>
      <c r="W217">
        <f t="shared" si="9"/>
        <v>2.2366060047521366</v>
      </c>
      <c r="X217" s="4">
        <f t="shared" si="10"/>
        <v>-9.2329756526823514E-2</v>
      </c>
      <c r="Y217" s="4">
        <f t="shared" si="11"/>
        <v>6.124941200245859E-3</v>
      </c>
    </row>
    <row r="218" spans="22:25" x14ac:dyDescent="0.25">
      <c r="V218">
        <v>21.6</v>
      </c>
      <c r="W218">
        <f t="shared" si="9"/>
        <v>2.2274035565193833</v>
      </c>
      <c r="X218" s="4">
        <f t="shared" si="10"/>
        <v>-9.1720177891020577E-2</v>
      </c>
      <c r="Y218" s="4">
        <f t="shared" si="11"/>
        <v>6.0667552319758405E-3</v>
      </c>
    </row>
    <row r="219" spans="22:25" x14ac:dyDescent="0.25">
      <c r="V219">
        <v>21.7</v>
      </c>
      <c r="W219">
        <f t="shared" si="9"/>
        <v>2.2182617764525587</v>
      </c>
      <c r="X219" s="4">
        <f t="shared" si="10"/>
        <v>-9.1116380936057409E-2</v>
      </c>
      <c r="Y219" s="4">
        <f t="shared" si="11"/>
        <v>6.0093056026312933E-3</v>
      </c>
    </row>
    <row r="220" spans="22:25" x14ac:dyDescent="0.25">
      <c r="V220">
        <v>21.8</v>
      </c>
      <c r="W220">
        <f t="shared" si="9"/>
        <v>2.2091800900455576</v>
      </c>
      <c r="X220" s="4">
        <f t="shared" si="10"/>
        <v>-9.0518292618415472E-2</v>
      </c>
      <c r="Y220" s="4">
        <f t="shared" si="11"/>
        <v>5.9525805432708414E-3</v>
      </c>
    </row>
    <row r="221" spans="22:25" x14ac:dyDescent="0.25">
      <c r="V221">
        <v>21.9</v>
      </c>
      <c r="W221">
        <f t="shared" si="9"/>
        <v>2.2001579300381708</v>
      </c>
      <c r="X221" s="4">
        <f t="shared" si="10"/>
        <v>-8.9925841059997902E-2</v>
      </c>
      <c r="Y221" s="4">
        <f t="shared" si="11"/>
        <v>5.8965685135149498E-3</v>
      </c>
    </row>
    <row r="222" spans="22:25" x14ac:dyDescent="0.25">
      <c r="V222">
        <v>22</v>
      </c>
      <c r="W222">
        <f t="shared" si="9"/>
        <v>2.1911947363006701</v>
      </c>
      <c r="X222" s="4">
        <f t="shared" si="10"/>
        <v>-8.9338955525536709E-2</v>
      </c>
      <c r="Y222" s="4">
        <f t="shared" si="11"/>
        <v>5.8412581963062146E-3</v>
      </c>
    </row>
    <row r="223" spans="22:25" x14ac:dyDescent="0.25">
      <c r="V223">
        <v>22.1</v>
      </c>
      <c r="W223">
        <f t="shared" si="9"/>
        <v>2.1822899557206368</v>
      </c>
      <c r="X223" s="4">
        <f t="shared" si="10"/>
        <v>-8.8757566400516547E-2</v>
      </c>
      <c r="Y223" s="4">
        <f t="shared" si="11"/>
        <v>5.7866384928083221E-3</v>
      </c>
    </row>
    <row r="224" spans="22:25" x14ac:dyDescent="0.25">
      <c r="V224">
        <v>22.2</v>
      </c>
      <c r="W224">
        <f t="shared" si="9"/>
        <v>2.1734430420919617</v>
      </c>
      <c r="X224" s="4">
        <f t="shared" si="10"/>
        <v>-8.8181605169602259E-2</v>
      </c>
      <c r="Y224" s="4">
        <f t="shared" si="11"/>
        <v>5.7326985174395101E-3</v>
      </c>
    </row>
    <row r="225" spans="22:25" x14ac:dyDescent="0.25">
      <c r="V225">
        <v>22.3</v>
      </c>
      <c r="W225">
        <f t="shared" si="9"/>
        <v>2.1646534560059956</v>
      </c>
      <c r="X225" s="4">
        <f t="shared" si="10"/>
        <v>-8.7611004395556122E-2</v>
      </c>
      <c r="Y225" s="4">
        <f t="shared" si="11"/>
        <v>5.6794275930364922E-3</v>
      </c>
    </row>
    <row r="226" spans="22:25" x14ac:dyDescent="0.25">
      <c r="V226">
        <v>22.4</v>
      </c>
      <c r="W226">
        <f t="shared" si="9"/>
        <v>2.1559206647447655</v>
      </c>
      <c r="X226" s="4">
        <f t="shared" si="10"/>
        <v>-8.7045697698632504E-2</v>
      </c>
      <c r="Y226" s="4">
        <f t="shared" si="11"/>
        <v>5.6268152461449944E-3</v>
      </c>
    </row>
    <row r="227" spans="22:25" x14ac:dyDescent="0.25">
      <c r="V227">
        <v>22.5</v>
      </c>
      <c r="W227">
        <f t="shared" si="9"/>
        <v>2.1472441421762412</v>
      </c>
      <c r="X227" s="4">
        <f t="shared" si="10"/>
        <v>-8.6485619736437425E-2</v>
      </c>
      <c r="Y227" s="4">
        <f t="shared" si="11"/>
        <v>5.5748512024331133E-3</v>
      </c>
    </row>
    <row r="228" spans="22:25" x14ac:dyDescent="0.25">
      <c r="V228">
        <v>22.6</v>
      </c>
      <c r="W228">
        <f t="shared" si="9"/>
        <v>2.1386233686515865</v>
      </c>
      <c r="X228" s="4">
        <f t="shared" si="10"/>
        <v>-8.5930706184240549E-2</v>
      </c>
      <c r="Y228" s="4">
        <f t="shared" si="11"/>
        <v>5.5235253822238841E-3</v>
      </c>
    </row>
    <row r="229" spans="22:25" x14ac:dyDescent="0.25">
      <c r="V229">
        <v>22.7</v>
      </c>
      <c r="W229">
        <f t="shared" si="9"/>
        <v>2.1300578309043594</v>
      </c>
      <c r="X229" s="4">
        <f t="shared" si="10"/>
        <v>-8.5380893715728379E-2</v>
      </c>
      <c r="Y229" s="4">
        <f t="shared" si="11"/>
        <v>5.4728278961435253E-3</v>
      </c>
    </row>
    <row r="230" spans="22:25" x14ac:dyDescent="0.25">
      <c r="V230">
        <v>22.8</v>
      </c>
      <c r="W230">
        <f t="shared" si="9"/>
        <v>2.1215470219516108</v>
      </c>
      <c r="X230" s="4">
        <f t="shared" si="10"/>
        <v>-8.4836119984186664E-2</v>
      </c>
      <c r="Y230" s="4">
        <f t="shared" si="11"/>
        <v>5.4227490408819638E-3</v>
      </c>
    </row>
    <row r="231" spans="22:25" x14ac:dyDescent="0.25">
      <c r="V231">
        <v>22.9</v>
      </c>
      <c r="W231">
        <f t="shared" si="9"/>
        <v>2.1130904409968552</v>
      </c>
      <c r="X231" s="4">
        <f t="shared" si="10"/>
        <v>-8.4296323604101581E-2</v>
      </c>
      <c r="Y231" s="4">
        <f t="shared" si="11"/>
        <v>5.3732792950623885E-3</v>
      </c>
    </row>
    <row r="232" spans="22:25" x14ac:dyDescent="0.25">
      <c r="V232">
        <v>23</v>
      </c>
      <c r="W232">
        <f t="shared" si="9"/>
        <v>2.1046875933348463</v>
      </c>
      <c r="X232" s="4">
        <f t="shared" si="10"/>
        <v>-8.3761444133168411E-2</v>
      </c>
      <c r="Y232" s="4">
        <f t="shared" si="11"/>
        <v>5.3244093152165972E-3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Y232"/>
  <sheetViews>
    <sheetView workbookViewId="0"/>
  </sheetViews>
  <sheetFormatPr defaultRowHeight="15" x14ac:dyDescent="0.25"/>
  <cols>
    <col min="2" max="2" width="10.140625" bestFit="1" customWidth="1"/>
  </cols>
  <sheetData>
    <row r="1" spans="1:25" x14ac:dyDescent="0.25">
      <c r="A1" s="1" t="s">
        <v>0</v>
      </c>
      <c r="V1" s="1" t="s">
        <v>1</v>
      </c>
      <c r="W1" s="1" t="s">
        <v>0</v>
      </c>
      <c r="X1" s="1" t="s">
        <v>7</v>
      </c>
      <c r="Y1" s="1" t="s">
        <v>8</v>
      </c>
    </row>
    <row r="2" spans="1:25" x14ac:dyDescent="0.25">
      <c r="A2">
        <v>10</v>
      </c>
      <c r="B2">
        <v>6</v>
      </c>
      <c r="C2">
        <v>5</v>
      </c>
      <c r="D2">
        <v>4</v>
      </c>
      <c r="E2">
        <v>3</v>
      </c>
      <c r="F2">
        <v>0</v>
      </c>
      <c r="V2">
        <v>0</v>
      </c>
      <c r="W2">
        <f>cfSab_mat(V2, $B$7:$E$11, $A$4:$E$4)</f>
        <v>10</v>
      </c>
      <c r="X2">
        <f>c_fSab_mat(V2, $B$7:$E$11, $A$4:$E$4)</f>
        <v>-1</v>
      </c>
      <c r="Y2">
        <f>c__fSab_mat(V2, $B$7:$E$11, $A$4:$E$4)</f>
        <v>0</v>
      </c>
    </row>
    <row r="3" spans="1:25" x14ac:dyDescent="0.25">
      <c r="A3" s="1" t="s">
        <v>1</v>
      </c>
      <c r="V3">
        <v>0.1</v>
      </c>
      <c r="W3">
        <f t="shared" ref="W3:W66" si="0">cfSab_mat(V3, $B$7:$E$11, $A$4:$E$4)</f>
        <v>9.9000013941681502</v>
      </c>
      <c r="X3" s="4">
        <f t="shared" ref="X3:X66" si="1">c_fSab_mat(V3, $B$7:$E$11, $A$4:$E$4)</f>
        <v>-0.99993153700064585</v>
      </c>
      <c r="Y3" s="4">
        <f t="shared" ref="Y3:Y66" si="2">c__fSab_mat(V3, $B$7:$E$11, $A$4:$E$4)</f>
        <v>2.5668380582723632E-3</v>
      </c>
    </row>
    <row r="4" spans="1:25" x14ac:dyDescent="0.25">
      <c r="A4">
        <v>0</v>
      </c>
      <c r="B4">
        <v>5</v>
      </c>
      <c r="C4">
        <v>7</v>
      </c>
      <c r="D4">
        <v>10</v>
      </c>
      <c r="E4">
        <v>15</v>
      </c>
      <c r="F4" t="s">
        <v>2</v>
      </c>
      <c r="V4">
        <v>0.2</v>
      </c>
      <c r="W4">
        <f t="shared" si="0"/>
        <v>9.8000347052567989</v>
      </c>
      <c r="X4" s="4">
        <f t="shared" si="1"/>
        <v>-0.99924228323730946</v>
      </c>
      <c r="Y4" s="4">
        <f t="shared" si="2"/>
        <v>1.2081027116529764E-2</v>
      </c>
    </row>
    <row r="5" spans="1:25" x14ac:dyDescent="0.25">
      <c r="V5">
        <v>0.3</v>
      </c>
      <c r="W5">
        <f t="shared" si="0"/>
        <v>9.7001913100594965</v>
      </c>
      <c r="X5" s="4">
        <f t="shared" si="1"/>
        <v>-0.99741461745791105</v>
      </c>
      <c r="Y5" s="4">
        <f t="shared" si="2"/>
        <v>2.4697106180683343E-2</v>
      </c>
    </row>
    <row r="6" spans="1:25" x14ac:dyDescent="0.25">
      <c r="B6" s="1" t="s">
        <v>3</v>
      </c>
      <c r="C6" s="2" t="s">
        <v>6</v>
      </c>
      <c r="D6" s="1" t="s">
        <v>4</v>
      </c>
      <c r="E6" s="1" t="s">
        <v>5</v>
      </c>
      <c r="V6">
        <v>0.4</v>
      </c>
      <c r="W6">
        <f t="shared" si="0"/>
        <v>9.600595109346159</v>
      </c>
      <c r="X6" s="4">
        <f t="shared" si="1"/>
        <v>-0.99429309197420146</v>
      </c>
      <c r="Y6" s="4">
        <f t="shared" si="2"/>
        <v>3.7656482133332794E-2</v>
      </c>
    </row>
    <row r="7" spans="1:25" x14ac:dyDescent="0.25">
      <c r="B7" s="4">
        <v>11.003347373305299</v>
      </c>
      <c r="C7" s="4">
        <v>1.07976215396916</v>
      </c>
      <c r="D7">
        <v>0</v>
      </c>
      <c r="E7" s="4">
        <v>-1.0033473733053</v>
      </c>
      <c r="V7">
        <v>0.5</v>
      </c>
      <c r="W7">
        <f t="shared" si="0"/>
        <v>9.5013747138515825</v>
      </c>
      <c r="X7" s="4">
        <f t="shared" si="1"/>
        <v>-0.98991331093701573</v>
      </c>
      <c r="Y7" s="4">
        <f t="shared" si="2"/>
        <v>4.9739973554974989E-2</v>
      </c>
    </row>
    <row r="8" spans="1:25" x14ac:dyDescent="0.25">
      <c r="B8" s="4">
        <v>12.0993901698995</v>
      </c>
      <c r="C8" s="4">
        <v>0.65864115405555701</v>
      </c>
      <c r="D8" s="4">
        <v>0.26874206704272302</v>
      </c>
      <c r="E8" s="4">
        <v>-2.6484795072868201</v>
      </c>
      <c r="V8">
        <v>0.6</v>
      </c>
      <c r="W8">
        <f t="shared" si="0"/>
        <v>9.4026505941770111</v>
      </c>
      <c r="X8" s="4">
        <f t="shared" si="1"/>
        <v>-0.98438987321655957</v>
      </c>
      <c r="Y8" s="4">
        <f t="shared" si="2"/>
        <v>6.0491103598274046E-2</v>
      </c>
    </row>
    <row r="9" spans="1:25" x14ac:dyDescent="0.25">
      <c r="B9" s="4">
        <v>6.2378411013119397</v>
      </c>
      <c r="C9" s="4">
        <v>0.65778330619348202</v>
      </c>
      <c r="D9" s="4">
        <v>-0.116184338099435</v>
      </c>
      <c r="E9" s="4">
        <v>4.4630920116549202</v>
      </c>
      <c r="V9">
        <v>0.7</v>
      </c>
      <c r="W9">
        <f t="shared" si="0"/>
        <v>9.3045301816858554</v>
      </c>
      <c r="X9" s="4">
        <f t="shared" si="1"/>
        <v>-0.97786316398541928</v>
      </c>
      <c r="Y9" s="4">
        <f t="shared" si="2"/>
        <v>6.9804876466513899E-2</v>
      </c>
    </row>
    <row r="10" spans="1:25" x14ac:dyDescent="0.25">
      <c r="B10" s="4">
        <v>6.8521246314820701</v>
      </c>
      <c r="C10" s="4">
        <v>0.77535061052565901</v>
      </c>
      <c r="D10" s="4">
        <v>-7.3153255084981397E-2</v>
      </c>
      <c r="E10" s="4">
        <v>3.4852913461321702</v>
      </c>
      <c r="V10">
        <v>0.8</v>
      </c>
      <c r="W10">
        <f t="shared" si="0"/>
        <v>9.2071066608866214</v>
      </c>
      <c r="X10" s="4">
        <f t="shared" si="1"/>
        <v>-0.97047514809447433</v>
      </c>
      <c r="Y10" s="4">
        <f t="shared" si="2"/>
        <v>7.7733125455037633E-2</v>
      </c>
    </row>
    <row r="11" spans="1:25" x14ac:dyDescent="0.25">
      <c r="B11" s="4">
        <v>9.1232416673403094</v>
      </c>
      <c r="C11" s="4">
        <v>1.2265166056391399</v>
      </c>
      <c r="D11">
        <v>0</v>
      </c>
      <c r="E11">
        <v>0</v>
      </c>
      <c r="V11">
        <v>0.9</v>
      </c>
      <c r="W11">
        <f t="shared" si="0"/>
        <v>9.1104594130949614</v>
      </c>
      <c r="X11" s="4">
        <f t="shared" si="1"/>
        <v>-0.96235885873768001</v>
      </c>
      <c r="Y11" s="4">
        <f t="shared" si="2"/>
        <v>8.4392389500819454E-2</v>
      </c>
    </row>
    <row r="12" spans="1:25" x14ac:dyDescent="0.25">
      <c r="V12">
        <v>1</v>
      </c>
      <c r="W12">
        <f t="shared" si="0"/>
        <v>9.0146551462537907</v>
      </c>
      <c r="X12" s="4">
        <f t="shared" si="1"/>
        <v>-0.95363438860733851</v>
      </c>
      <c r="Y12" s="4">
        <f t="shared" si="2"/>
        <v>8.9920067283142821E-2</v>
      </c>
    </row>
    <row r="13" spans="1:25" x14ac:dyDescent="0.25">
      <c r="V13">
        <v>1.1000000000000001</v>
      </c>
      <c r="W13">
        <f t="shared" si="0"/>
        <v>8.9197492521973274</v>
      </c>
      <c r="X13" s="4">
        <f t="shared" si="1"/>
        <v>-0.94440796617685596</v>
      </c>
      <c r="Y13" s="4">
        <f t="shared" si="2"/>
        <v>9.4453797960770747E-2</v>
      </c>
    </row>
    <row r="14" spans="1:25" x14ac:dyDescent="0.25">
      <c r="V14">
        <v>1.2</v>
      </c>
      <c r="W14">
        <f t="shared" si="0"/>
        <v>8.8257871755814019</v>
      </c>
      <c r="X14" s="4">
        <f t="shared" si="1"/>
        <v>-0.93477245774412066</v>
      </c>
      <c r="Y14" s="4">
        <f t="shared" si="2"/>
        <v>9.8122237789966413E-2</v>
      </c>
    </row>
    <row r="15" spans="1:25" x14ac:dyDescent="0.25">
      <c r="V15">
        <v>1.3</v>
      </c>
      <c r="W15">
        <f t="shared" si="0"/>
        <v>8.7328056975755661</v>
      </c>
      <c r="X15" s="4">
        <f t="shared" si="1"/>
        <v>-0.9248084768457755</v>
      </c>
      <c r="Y15" s="4">
        <f t="shared" si="2"/>
        <v>0.10104148041226647</v>
      </c>
    </row>
    <row r="16" spans="1:25" x14ac:dyDescent="0.25">
      <c r="V16">
        <v>1.4</v>
      </c>
      <c r="W16">
        <f t="shared" si="0"/>
        <v>8.6408340961866479</v>
      </c>
      <c r="X16" s="4">
        <f t="shared" si="1"/>
        <v>-0.91458569632753572</v>
      </c>
      <c r="Y16" s="4">
        <f t="shared" si="2"/>
        <v>0.10331425259647793</v>
      </c>
    </row>
    <row r="17" spans="22:25" x14ac:dyDescent="0.25">
      <c r="V17">
        <v>1.5</v>
      </c>
      <c r="W17">
        <f t="shared" si="0"/>
        <v>8.5498951739851741</v>
      </c>
      <c r="X17" s="4">
        <f t="shared" si="1"/>
        <v>-0.90416416641406805</v>
      </c>
      <c r="Y17" s="4">
        <f t="shared" si="2"/>
        <v>0.10503042940824493</v>
      </c>
    </row>
    <row r="18" spans="22:25" x14ac:dyDescent="0.25">
      <c r="V18">
        <v>1.6</v>
      </c>
      <c r="W18">
        <f t="shared" si="0"/>
        <v>8.4600061577787145</v>
      </c>
      <c r="X18" s="4">
        <f t="shared" si="1"/>
        <v>-0.89359554822960718</v>
      </c>
      <c r="Y18" s="4">
        <f t="shared" si="2"/>
        <v>0.10626812344235716</v>
      </c>
    </row>
    <row r="19" spans="22:25" x14ac:dyDescent="0.25">
      <c r="V19">
        <v>1.7</v>
      </c>
      <c r="W19">
        <f t="shared" si="0"/>
        <v>8.3711794808147584</v>
      </c>
      <c r="X19" s="4">
        <f t="shared" si="1"/>
        <v>-0.88292422650162239</v>
      </c>
      <c r="Y19" s="4">
        <f t="shared" si="2"/>
        <v>0.10709496820119781</v>
      </c>
    </row>
    <row r="20" spans="22:25" x14ac:dyDescent="0.25">
      <c r="V20">
        <v>1.8</v>
      </c>
      <c r="W20">
        <f t="shared" si="0"/>
        <v>8.2834234601928713</v>
      </c>
      <c r="X20" s="4">
        <f t="shared" si="1"/>
        <v>-0.87218829261496356</v>
      </c>
      <c r="Y20" s="4">
        <f t="shared" si="2"/>
        <v>0.10756940647931831</v>
      </c>
    </row>
    <row r="21" spans="22:25" x14ac:dyDescent="0.25">
      <c r="V21">
        <v>1.9</v>
      </c>
      <c r="W21">
        <f t="shared" si="0"/>
        <v>8.1967428822978174</v>
      </c>
      <c r="X21" s="4">
        <f t="shared" si="1"/>
        <v>-0.86142040254860897</v>
      </c>
      <c r="Y21" s="4">
        <f t="shared" si="2"/>
        <v>0.10774189493989521</v>
      </c>
    </row>
    <row r="22" spans="22:25" x14ac:dyDescent="0.25">
      <c r="V22">
        <v>2</v>
      </c>
      <c r="W22">
        <f t="shared" si="0"/>
        <v>8.1111395082703552</v>
      </c>
      <c r="X22" s="4">
        <f t="shared" si="1"/>
        <v>-0.85064852019367354</v>
      </c>
      <c r="Y22" s="4">
        <f t="shared" si="2"/>
        <v>0.1076559886979893</v>
      </c>
    </row>
    <row r="23" spans="22:25" x14ac:dyDescent="0.25">
      <c r="V23">
        <v>2.1</v>
      </c>
      <c r="W23">
        <f t="shared" si="0"/>
        <v>8.026612510354429</v>
      </c>
      <c r="X23" s="4">
        <f t="shared" si="1"/>
        <v>-0.83989655865996737</v>
      </c>
      <c r="Y23" s="4">
        <f t="shared" si="2"/>
        <v>0.10734929688041628</v>
      </c>
    </row>
    <row r="24" spans="22:25" x14ac:dyDescent="0.25">
      <c r="V24">
        <v>2.2000000000000002</v>
      </c>
      <c r="W24">
        <f t="shared" si="0"/>
        <v>7.9431588486804854</v>
      </c>
      <c r="X24" s="4">
        <f t="shared" si="1"/>
        <v>-0.8291849323265752</v>
      </c>
      <c r="Y24" s="4">
        <f t="shared" si="2"/>
        <v>0.10685431359148823</v>
      </c>
    </row>
    <row r="25" spans="22:25" x14ac:dyDescent="0.25">
      <c r="V25">
        <v>2.2999999999999998</v>
      </c>
      <c r="W25">
        <f t="shared" si="0"/>
        <v>7.8607735968033721</v>
      </c>
      <c r="X25" s="4">
        <f t="shared" si="1"/>
        <v>-0.81853103159999674</v>
      </c>
      <c r="Y25" s="4">
        <f t="shared" si="2"/>
        <v>0.10619913481844384</v>
      </c>
    </row>
    <row r="26" spans="22:25" x14ac:dyDescent="0.25">
      <c r="V26">
        <v>2.4</v>
      </c>
      <c r="W26">
        <f t="shared" si="0"/>
        <v>7.7794502231746661</v>
      </c>
      <c r="X26" s="4">
        <f t="shared" si="1"/>
        <v>-0.80794963115702578</v>
      </c>
      <c r="Y26" s="4">
        <f t="shared" si="2"/>
        <v>0.10540807401105119</v>
      </c>
    </row>
    <row r="27" spans="22:25" x14ac:dyDescent="0.25">
      <c r="V27">
        <v>2.5</v>
      </c>
      <c r="W27">
        <f t="shared" si="0"/>
        <v>7.6991808347159649</v>
      </c>
      <c r="X27" s="4">
        <f t="shared" si="1"/>
        <v>-0.79745324115524219</v>
      </c>
      <c r="Y27" s="4">
        <f t="shared" si="2"/>
        <v>0.10450218925636773</v>
      </c>
    </row>
    <row r="28" spans="22:25" x14ac:dyDescent="0.25">
      <c r="V28">
        <v>2.6</v>
      </c>
      <c r="W28">
        <f t="shared" si="0"/>
        <v>7.6199563877750611</v>
      </c>
      <c r="X28" s="4">
        <f t="shared" si="1"/>
        <v>-0.78705240963623946</v>
      </c>
      <c r="Y28" s="4">
        <f t="shared" si="2"/>
        <v>0.10349973417672008</v>
      </c>
    </row>
    <row r="29" spans="22:25" x14ac:dyDescent="0.25">
      <c r="V29">
        <v>2.7</v>
      </c>
      <c r="W29">
        <f t="shared" si="0"/>
        <v>7.5417668709830403</v>
      </c>
      <c r="X29" s="4">
        <f t="shared" si="1"/>
        <v>-0.77675598319248484</v>
      </c>
      <c r="Y29" s="4">
        <f t="shared" si="2"/>
        <v>0.10241654346856689</v>
      </c>
    </row>
    <row r="30" spans="22:25" x14ac:dyDescent="0.25">
      <c r="V30">
        <v>2.8</v>
      </c>
      <c r="W30">
        <f t="shared" si="0"/>
        <v>7.4646014638757103</v>
      </c>
      <c r="X30" s="4">
        <f t="shared" si="1"/>
        <v>-0.76657133194319604</v>
      </c>
      <c r="Y30" s="4">
        <f t="shared" si="2"/>
        <v>0.10126636267104157</v>
      </c>
    </row>
    <row r="31" spans="22:25" x14ac:dyDescent="0.25">
      <c r="V31">
        <v>2.9</v>
      </c>
      <c r="W31">
        <f t="shared" si="0"/>
        <v>7.3884486745839437</v>
      </c>
      <c r="X31" s="4">
        <f t="shared" si="1"/>
        <v>-0.7565045439711453</v>
      </c>
      <c r="Y31" s="4">
        <f t="shared" si="2"/>
        <v>0.10006113045830385</v>
      </c>
    </row>
    <row r="32" spans="22:25" x14ac:dyDescent="0.25">
      <c r="V32">
        <v>3</v>
      </c>
      <c r="W32">
        <f t="shared" si="0"/>
        <v>7.3132964594217613</v>
      </c>
      <c r="X32" s="4">
        <f t="shared" si="1"/>
        <v>-0.74656059360337257</v>
      </c>
      <c r="Y32" s="4">
        <f t="shared" si="2"/>
        <v>9.8811220561036209E-2</v>
      </c>
    </row>
    <row r="33" spans="22:25" x14ac:dyDescent="0.25">
      <c r="V33">
        <v>3.1</v>
      </c>
      <c r="W33">
        <f t="shared" si="0"/>
        <v>7.2391323267964376</v>
      </c>
      <c r="X33" s="4">
        <f t="shared" si="1"/>
        <v>-0.73674348726217898</v>
      </c>
      <c r="Y33" s="4">
        <f t="shared" si="2"/>
        <v>9.752564936702296E-2</v>
      </c>
    </row>
    <row r="34" spans="22:25" x14ac:dyDescent="0.25">
      <c r="V34">
        <v>3.2</v>
      </c>
      <c r="W34">
        <f t="shared" si="0"/>
        <v>7.1659434275208662</v>
      </c>
      <c r="X34" s="4">
        <f t="shared" si="1"/>
        <v>-0.72705639005480061</v>
      </c>
      <c r="Y34" s="4">
        <f t="shared" si="2"/>
        <v>9.6212254332897873E-2</v>
      </c>
    </row>
    <row r="35" spans="22:25" x14ac:dyDescent="0.25">
      <c r="V35">
        <v>3.3</v>
      </c>
      <c r="W35">
        <f t="shared" si="0"/>
        <v>7.0937166333159487</v>
      </c>
      <c r="X35" s="4">
        <f t="shared" si="1"/>
        <v>-0.7175017357973752</v>
      </c>
      <c r="Y35" s="4">
        <f t="shared" si="2"/>
        <v>9.4877847551302782E-2</v>
      </c>
    </row>
    <row r="36" spans="22:25" x14ac:dyDescent="0.25">
      <c r="V36">
        <v>3.4</v>
      </c>
      <c r="W36">
        <f t="shared" si="0"/>
        <v>7.0224386050417236</v>
      </c>
      <c r="X36" s="4">
        <f t="shared" si="1"/>
        <v>-0.70808132276884139</v>
      </c>
      <c r="Y36" s="4">
        <f t="shared" si="2"/>
        <v>9.3528348147138785E-2</v>
      </c>
    </row>
    <row r="37" spans="22:25" x14ac:dyDescent="0.25">
      <c r="V37">
        <v>3.5</v>
      </c>
      <c r="W37">
        <f t="shared" si="0"/>
        <v>6.9520958519837812</v>
      </c>
      <c r="X37" s="4">
        <f t="shared" si="1"/>
        <v>-0.69879639715221975</v>
      </c>
      <c r="Y37" s="4">
        <f t="shared" si="2"/>
        <v>9.2168896608941772E-2</v>
      </c>
    </row>
    <row r="38" spans="22:25" x14ac:dyDescent="0.25">
      <c r="V38">
        <v>3.6</v>
      </c>
      <c r="W38">
        <f t="shared" si="0"/>
        <v>6.8826747833404651</v>
      </c>
      <c r="X38" s="4">
        <f t="shared" si="1"/>
        <v>-0.68964772583475087</v>
      </c>
      <c r="Y38" s="4">
        <f t="shared" si="2"/>
        <v>9.080395368248953E-2</v>
      </c>
    </row>
    <row r="39" spans="22:25" x14ac:dyDescent="0.25">
      <c r="V39">
        <v>3.7</v>
      </c>
      <c r="W39">
        <f t="shared" si="0"/>
        <v>6.8141617529016569</v>
      </c>
      <c r="X39" s="4">
        <f t="shared" si="1"/>
        <v>-0.68063565999639786</v>
      </c>
      <c r="Y39" s="4">
        <f t="shared" si="2"/>
        <v>8.9437386050462364E-2</v>
      </c>
    </row>
    <row r="40" spans="22:25" x14ac:dyDescent="0.25">
      <c r="V40">
        <v>3.8</v>
      </c>
      <c r="W40">
        <f t="shared" si="0"/>
        <v>6.7465430977774936</v>
      </c>
      <c r="X40" s="4">
        <f t="shared" si="1"/>
        <v>-0.67176019071129445</v>
      </c>
      <c r="Y40" s="4">
        <f t="shared" si="2"/>
        <v>8.8072540682690881E-2</v>
      </c>
    </row>
    <row r="41" spans="22:25" x14ac:dyDescent="0.25">
      <c r="V41">
        <v>3.9</v>
      </c>
      <c r="W41">
        <f t="shared" si="0"/>
        <v>6.6798051719218554</v>
      </c>
      <c r="X41" s="4">
        <f t="shared" si="1"/>
        <v>-0.66302099761294353</v>
      </c>
      <c r="Y41" s="4">
        <f t="shared" si="2"/>
        <v>8.6712309456127651E-2</v>
      </c>
    </row>
    <row r="42" spans="22:25" x14ac:dyDescent="0.25">
      <c r="V42">
        <v>4</v>
      </c>
      <c r="W42">
        <f t="shared" si="0"/>
        <v>6.61393437509797</v>
      </c>
      <c r="X42" s="4">
        <f t="shared" si="1"/>
        <v>-0.65441749152641338</v>
      </c>
      <c r="Y42" s="4">
        <f t="shared" si="2"/>
        <v>8.5359185403520318E-2</v>
      </c>
    </row>
    <row r="43" spans="22:25" x14ac:dyDescent="0.25">
      <c r="V43">
        <v>4.0999999999999996</v>
      </c>
      <c r="W43">
        <f t="shared" si="0"/>
        <v>6.5489171778495452</v>
      </c>
      <c r="X43" s="4">
        <f t="shared" si="1"/>
        <v>-0.64594885184527984</v>
      </c>
      <c r="Y43" s="4">
        <f t="shared" si="2"/>
        <v>8.4015311747518681E-2</v>
      </c>
    </row>
    <row r="44" spans="22:25" x14ac:dyDescent="0.25">
      <c r="V44">
        <v>4.2</v>
      </c>
      <c r="W44">
        <f t="shared" si="0"/>
        <v>6.4847401429686515</v>
      </c>
      <c r="X44" s="4">
        <f t="shared" si="1"/>
        <v>-0.63761405932415527</v>
      </c>
      <c r="Y44" s="4">
        <f t="shared" si="2"/>
        <v>8.2682524706446561E-2</v>
      </c>
    </row>
    <row r="45" spans="22:25" x14ac:dyDescent="0.25">
      <c r="V45">
        <v>4.3</v>
      </c>
      <c r="W45">
        <f t="shared" si="0"/>
        <v>6.4213899438890421</v>
      </c>
      <c r="X45" s="4">
        <f t="shared" si="1"/>
        <v>-0.62941192486642383</v>
      </c>
      <c r="Y45" s="4">
        <f t="shared" si="2"/>
        <v>8.1362390914045277E-2</v>
      </c>
    </row>
    <row r="46" spans="22:25" x14ac:dyDescent="0.25">
      <c r="V46">
        <v>4.4000000000000004</v>
      </c>
      <c r="W46">
        <f t="shared" si="0"/>
        <v>6.358853380379772</v>
      </c>
      <c r="X46" s="4">
        <f t="shared" si="1"/>
        <v>-0.62134111480882193</v>
      </c>
      <c r="Y46" s="4">
        <f t="shared" si="2"/>
        <v>8.0056240173829632E-2</v>
      </c>
    </row>
    <row r="47" spans="22:25" x14ac:dyDescent="0.25">
      <c r="V47">
        <v>4.5</v>
      </c>
      <c r="W47">
        <f t="shared" si="0"/>
        <v>6.2971173918671228</v>
      </c>
      <c r="X47" s="4">
        <f t="shared" si="1"/>
        <v>-0.61340017313773187</v>
      </c>
      <c r="Y47" s="4">
        <f t="shared" si="2"/>
        <v>7.8765194165688487E-2</v>
      </c>
    </row>
    <row r="48" spans="22:25" x14ac:dyDescent="0.25">
      <c r="V48">
        <v>4.5999999999999996</v>
      </c>
      <c r="W48">
        <f t="shared" si="0"/>
        <v>6.2361690686723827</v>
      </c>
      <c r="X48" s="4">
        <f t="shared" si="1"/>
        <v>-0.60558754101478018</v>
      </c>
      <c r="Y48" s="4">
        <f t="shared" si="2"/>
        <v>7.7490191635003064E-2</v>
      </c>
    </row>
    <row r="49" spans="22:25" x14ac:dyDescent="0.25">
      <c r="V49">
        <v>4.7</v>
      </c>
      <c r="W49">
        <f t="shared" si="0"/>
        <v>6.1759956614177165</v>
      </c>
      <c r="X49" s="4">
        <f t="shared" si="1"/>
        <v>-0.59790157394011789</v>
      </c>
      <c r="Y49" s="4">
        <f t="shared" si="2"/>
        <v>7.6232010520348295E-2</v>
      </c>
    </row>
    <row r="50" spans="22:25" x14ac:dyDescent="0.25">
      <c r="V50">
        <v>4.8</v>
      </c>
      <c r="W50">
        <f t="shared" si="0"/>
        <v>6.1165845888217563</v>
      </c>
      <c r="X50" s="4">
        <f t="shared" si="1"/>
        <v>-0.59034055683939268</v>
      </c>
      <c r="Y50" s="4">
        <f t="shared" si="2"/>
        <v>7.4991287412691815E-2</v>
      </c>
    </row>
    <row r="51" spans="22:25" x14ac:dyDescent="0.25">
      <c r="V51">
        <v>4.9000000000000004</v>
      </c>
      <c r="W51">
        <f t="shared" si="0"/>
        <v>6.0579234440797789</v>
      </c>
      <c r="X51" s="4">
        <f t="shared" si="1"/>
        <v>-0.58290271732389409</v>
      </c>
      <c r="Y51" s="4">
        <f t="shared" si="2"/>
        <v>7.3768534685175441E-2</v>
      </c>
    </row>
    <row r="52" spans="22:25" x14ac:dyDescent="0.25">
      <c r="V52">
        <v>5</v>
      </c>
      <c r="W52">
        <f t="shared" si="0"/>
        <v>5.9999999999999307</v>
      </c>
      <c r="X52" s="4">
        <f t="shared" si="1"/>
        <v>-0.57558623734180614</v>
      </c>
      <c r="Y52" s="4">
        <f t="shared" si="2"/>
        <v>7.2564155586593862E-2</v>
      </c>
    </row>
    <row r="53" spans="22:25" x14ac:dyDescent="0.25">
      <c r="V53">
        <v>5.0999999999999996</v>
      </c>
      <c r="W53">
        <f t="shared" si="0"/>
        <v>5.9428054655083944</v>
      </c>
      <c r="X53" s="4">
        <f t="shared" si="1"/>
        <v>-0.56829207321174113</v>
      </c>
      <c r="Y53" s="4">
        <f t="shared" si="2"/>
        <v>7.3306947431279884E-2</v>
      </c>
    </row>
    <row r="54" spans="22:25" x14ac:dyDescent="0.25">
      <c r="V54">
        <v>5.2</v>
      </c>
      <c r="W54">
        <f t="shared" si="0"/>
        <v>5.8863439404822557</v>
      </c>
      <c r="X54" s="4">
        <f t="shared" si="1"/>
        <v>-0.56092724817175088</v>
      </c>
      <c r="Y54" s="4">
        <f t="shared" si="2"/>
        <v>7.3977732209915464E-2</v>
      </c>
    </row>
    <row r="55" spans="22:25" x14ac:dyDescent="0.25">
      <c r="V55">
        <v>5.3</v>
      </c>
      <c r="W55">
        <f t="shared" si="0"/>
        <v>5.8306221345896159</v>
      </c>
      <c r="X55" s="4">
        <f t="shared" si="1"/>
        <v>-0.55349885428359569</v>
      </c>
      <c r="Y55" s="4">
        <f t="shared" si="2"/>
        <v>7.4578693390858E-2</v>
      </c>
    </row>
    <row r="56" spans="22:25" x14ac:dyDescent="0.25">
      <c r="V56">
        <v>5.4</v>
      </c>
      <c r="W56">
        <f t="shared" si="0"/>
        <v>5.7756460593081389</v>
      </c>
      <c r="X56" s="4">
        <f t="shared" si="1"/>
        <v>-0.54601376238197963</v>
      </c>
      <c r="Y56" s="4">
        <f t="shared" si="2"/>
        <v>7.5112069200494194E-2</v>
      </c>
    </row>
    <row r="57" spans="22:25" x14ac:dyDescent="0.25">
      <c r="V57">
        <v>5.5</v>
      </c>
      <c r="W57">
        <f t="shared" si="0"/>
        <v>5.7214210502939089</v>
      </c>
      <c r="X57" s="4">
        <f t="shared" si="1"/>
        <v>-0.53847861742057912</v>
      </c>
      <c r="Y57" s="4">
        <f t="shared" si="2"/>
        <v>7.5580136502024498E-2</v>
      </c>
    </row>
    <row r="58" spans="22:25" x14ac:dyDescent="0.25">
      <c r="V58">
        <v>5.6</v>
      </c>
      <c r="W58">
        <f t="shared" si="0"/>
        <v>5.6679517901381189</v>
      </c>
      <c r="X58" s="4">
        <f t="shared" si="1"/>
        <v>-0.53089983533823903</v>
      </c>
      <c r="Y58" s="4">
        <f t="shared" si="2"/>
        <v>7.5985196486903731E-2</v>
      </c>
    </row>
    <row r="59" spans="22:25" x14ac:dyDescent="0.25">
      <c r="V59">
        <v>5.7</v>
      </c>
      <c r="W59">
        <f t="shared" si="0"/>
        <v>5.6152423313684778</v>
      </c>
      <c r="X59" s="4">
        <f t="shared" si="1"/>
        <v>-0.52328360127184625</v>
      </c>
      <c r="Y59" s="4">
        <f t="shared" si="2"/>
        <v>7.6329562024953751E-2</v>
      </c>
    </row>
    <row r="60" spans="22:25" x14ac:dyDescent="0.25">
      <c r="V60">
        <v>5.8</v>
      </c>
      <c r="W60">
        <f t="shared" si="0"/>
        <v>5.5632961195686175</v>
      </c>
      <c r="X60" s="4">
        <f t="shared" si="1"/>
        <v>-0.51563586895733637</v>
      </c>
      <c r="Y60" s="4">
        <f t="shared" si="2"/>
        <v>7.6615546528199921E-2</v>
      </c>
    </row>
    <row r="61" spans="22:25" x14ac:dyDescent="0.25">
      <c r="V61">
        <v>5.9</v>
      </c>
      <c r="W61">
        <f t="shared" si="0"/>
        <v>5.5121160165040788</v>
      </c>
      <c r="X61" s="4">
        <f t="shared" si="1"/>
        <v>-0.50796236117432314</v>
      </c>
      <c r="Y61" s="4">
        <f t="shared" si="2"/>
        <v>7.6845454192689025E-2</v>
      </c>
    </row>
    <row r="62" spans="22:25" x14ac:dyDescent="0.25">
      <c r="V62">
        <v>6</v>
      </c>
      <c r="W62">
        <f t="shared" si="0"/>
        <v>5.4617043231572158</v>
      </c>
      <c r="X62" s="4">
        <f t="shared" si="1"/>
        <v>-0.50026857110296086</v>
      </c>
      <c r="Y62" s="4">
        <f t="shared" si="2"/>
        <v>7.7021571491727281E-2</v>
      </c>
    </row>
    <row r="63" spans="22:25" x14ac:dyDescent="0.25">
      <c r="V63">
        <v>6.1</v>
      </c>
      <c r="W63">
        <f t="shared" si="0"/>
        <v>5.412062802585762</v>
      </c>
      <c r="X63" s="4">
        <f t="shared" si="1"/>
        <v>-0.49255976447384425</v>
      </c>
      <c r="Y63" s="4">
        <f t="shared" si="2"/>
        <v>7.71461598029929E-2</v>
      </c>
    </row>
    <row r="64" spans="22:25" x14ac:dyDescent="0.25">
      <c r="V64">
        <v>6.2</v>
      </c>
      <c r="W64">
        <f t="shared" si="0"/>
        <v>5.3631927025313342</v>
      </c>
      <c r="X64" s="4">
        <f t="shared" si="1"/>
        <v>-0.48484098240307399</v>
      </c>
      <c r="Y64" s="4">
        <f t="shared" si="2"/>
        <v>7.7221449060721106E-2</v>
      </c>
    </row>
    <row r="65" spans="22:25" x14ac:dyDescent="0.25">
      <c r="V65">
        <v>6.3</v>
      </c>
      <c r="W65">
        <f t="shared" si="0"/>
        <v>5.3150947777142576</v>
      </c>
      <c r="X65" s="4">
        <f t="shared" si="1"/>
        <v>-0.47711704481506717</v>
      </c>
      <c r="Y65" s="4">
        <f t="shared" si="2"/>
        <v>7.7249632332556398E-2</v>
      </c>
    </row>
    <row r="66" spans="22:25" x14ac:dyDescent="0.25">
      <c r="V66">
        <v>6.4</v>
      </c>
      <c r="W66">
        <f t="shared" si="0"/>
        <v>5.2677693117604178</v>
      </c>
      <c r="X66" s="4">
        <f t="shared" si="1"/>
        <v>-0.46939255436533073</v>
      </c>
      <c r="Y66" s="4">
        <f t="shared" si="2"/>
        <v>7.7232861228667377E-2</v>
      </c>
    </row>
    <row r="67" spans="22:25" x14ac:dyDescent="0.25">
      <c r="V67">
        <v>6.5</v>
      </c>
      <c r="W67">
        <f t="shared" ref="W67:W130" si="3">cfSab_mat(V67, $B$7:$E$11, $A$4:$E$4)</f>
        <v>5.2212161387141638</v>
      </c>
      <c r="X67" s="4">
        <f t="shared" ref="X67:X130" si="4">c_fSab_mat(V67, $B$7:$E$11, $A$4:$E$4)</f>
        <v>-0.46167190078427683</v>
      </c>
      <c r="Y67" s="4">
        <f t="shared" ref="Y67:Y130" si="5">c__fSab_mat(V67, $B$7:$E$11, $A$4:$E$4)</f>
        <v>7.7173242058289723E-2</v>
      </c>
    </row>
    <row r="68" spans="22:25" x14ac:dyDescent="0.25">
      <c r="V68">
        <v>6.6</v>
      </c>
      <c r="W68">
        <f t="shared" si="3"/>
        <v>5.1754346640987627</v>
      </c>
      <c r="X68" s="4">
        <f t="shared" si="4"/>
        <v>-0.4539592655712778</v>
      </c>
      <c r="Y68" s="4">
        <f t="shared" si="5"/>
        <v>7.7072832655988424E-2</v>
      </c>
    </row>
    <row r="69" spans="22:25" x14ac:dyDescent="0.25">
      <c r="V69">
        <v>6.7</v>
      </c>
      <c r="W69">
        <f t="shared" si="3"/>
        <v>5.1304238854925952</v>
      </c>
      <c r="X69" s="4">
        <f t="shared" si="4"/>
        <v>-0.4462586269755961</v>
      </c>
      <c r="Y69" s="4">
        <f t="shared" si="5"/>
        <v>7.6933639806603726E-2</v>
      </c>
    </row>
    <row r="70" spans="22:25" x14ac:dyDescent="0.25">
      <c r="V70">
        <v>6.8</v>
      </c>
      <c r="W70">
        <f t="shared" si="3"/>
        <v>5.0861824125953152</v>
      </c>
      <c r="X70" s="4">
        <f t="shared" si="4"/>
        <v>-0.43857376520760954</v>
      </c>
      <c r="Y70" s="4">
        <f t="shared" si="5"/>
        <v>7.67576172040704E-2</v>
      </c>
    </row>
    <row r="71" spans="22:25" x14ac:dyDescent="0.25">
      <c r="V71">
        <v>6.9</v>
      </c>
      <c r="W71">
        <f t="shared" si="3"/>
        <v>5.0427084867634715</v>
      </c>
      <c r="X71" s="4">
        <f t="shared" si="4"/>
        <v>-0.43090826782994512</v>
      </c>
      <c r="Y71" s="4">
        <f t="shared" si="5"/>
        <v>7.6546663885085867E-2</v>
      </c>
    </row>
    <row r="72" spans="22:25" x14ac:dyDescent="0.25">
      <c r="V72">
        <v>7</v>
      </c>
      <c r="W72">
        <f t="shared" si="3"/>
        <v>5.0000000000017479</v>
      </c>
      <c r="X72" s="4">
        <f t="shared" si="4"/>
        <v>-0.42326553528328675</v>
      </c>
      <c r="Y72" s="4">
        <f t="shared" si="5"/>
        <v>7.6302623083893059E-2</v>
      </c>
    </row>
    <row r="73" spans="22:25" x14ac:dyDescent="0.25">
      <c r="V73">
        <v>7.1</v>
      </c>
      <c r="W73">
        <f t="shared" si="3"/>
        <v>4.9580517671983992</v>
      </c>
      <c r="X73" s="4">
        <f t="shared" si="4"/>
        <v>-0.41573087734396175</v>
      </c>
      <c r="Y73" s="4">
        <f t="shared" si="5"/>
        <v>7.439723135726474E-2</v>
      </c>
    </row>
    <row r="74" spans="22:25" x14ac:dyDescent="0.25">
      <c r="V74">
        <v>7.2</v>
      </c>
      <c r="W74">
        <f t="shared" si="3"/>
        <v>4.9168475402216192</v>
      </c>
      <c r="X74" s="4">
        <f t="shared" si="4"/>
        <v>-0.40838474855269674</v>
      </c>
      <c r="Y74" s="4">
        <f t="shared" si="5"/>
        <v>7.2532049762066203E-2</v>
      </c>
    </row>
    <row r="75" spans="22:25" x14ac:dyDescent="0.25">
      <c r="V75">
        <v>7.3</v>
      </c>
      <c r="W75">
        <f t="shared" si="3"/>
        <v>4.8763686672594577</v>
      </c>
      <c r="X75" s="4">
        <f t="shared" si="4"/>
        <v>-0.40122312676581429</v>
      </c>
      <c r="Y75" s="4">
        <f t="shared" si="5"/>
        <v>7.0707083689068556E-2</v>
      </c>
    </row>
    <row r="76" spans="22:25" x14ac:dyDescent="0.25">
      <c r="V76">
        <v>7.4</v>
      </c>
      <c r="W76">
        <f t="shared" si="3"/>
        <v>4.8365968985738803</v>
      </c>
      <c r="X76" s="4">
        <f t="shared" si="4"/>
        <v>-0.39424199427528822</v>
      </c>
      <c r="Y76" s="4">
        <f t="shared" si="5"/>
        <v>6.8922240912985294E-2</v>
      </c>
    </row>
    <row r="77" spans="22:25" x14ac:dyDescent="0.25">
      <c r="V77">
        <v>7.5</v>
      </c>
      <c r="W77">
        <f t="shared" si="3"/>
        <v>4.7975143855874975</v>
      </c>
      <c r="X77" s="4">
        <f t="shared" si="4"/>
        <v>-0.38743734702337485</v>
      </c>
      <c r="Y77" s="4">
        <f t="shared" si="5"/>
        <v>6.7177342368839293E-2</v>
      </c>
    </row>
    <row r="78" spans="22:25" x14ac:dyDescent="0.25">
      <c r="V78">
        <v>7.6</v>
      </c>
      <c r="W78">
        <f t="shared" si="3"/>
        <v>4.7591036791011057</v>
      </c>
      <c r="X78" s="4">
        <f t="shared" si="4"/>
        <v>-0.38080520278724017</v>
      </c>
      <c r="Y78" s="4">
        <f t="shared" si="5"/>
        <v>6.5472131988514828E-2</v>
      </c>
    </row>
    <row r="79" spans="22:25" x14ac:dyDescent="0.25">
      <c r="V79">
        <v>7.7</v>
      </c>
      <c r="W79">
        <f t="shared" si="3"/>
        <v>4.7213477267404729</v>
      </c>
      <c r="X79" s="4">
        <f t="shared" si="4"/>
        <v>-0.37434160842380998</v>
      </c>
      <c r="Y79" s="4">
        <f t="shared" si="5"/>
        <v>6.3806285671681923E-2</v>
      </c>
    </row>
    <row r="80" spans="22:25" x14ac:dyDescent="0.25">
      <c r="V80">
        <v>7.8</v>
      </c>
      <c r="W80">
        <f t="shared" si="3"/>
        <v>4.6842298697221585</v>
      </c>
      <c r="X80" s="4">
        <f t="shared" si="4"/>
        <v>-0.3680426462579125</v>
      </c>
      <c r="Y80" s="4">
        <f t="shared" si="5"/>
        <v>6.2179419460045286E-2</v>
      </c>
    </row>
    <row r="81" spans="22:25" x14ac:dyDescent="0.25">
      <c r="V81">
        <v>7.9</v>
      </c>
      <c r="W81">
        <f t="shared" si="3"/>
        <v>4.6477338390201188</v>
      </c>
      <c r="X81" s="4">
        <f t="shared" si="4"/>
        <v>-0.36190443969014574</v>
      </c>
      <c r="Y81" s="4">
        <f t="shared" si="5"/>
        <v>6.0591096978910478E-2</v>
      </c>
    </row>
    <row r="82" spans="22:25" x14ac:dyDescent="0.25">
      <c r="V82">
        <v>8</v>
      </c>
      <c r="W82">
        <f t="shared" si="3"/>
        <v>4.6118437510076014</v>
      </c>
      <c r="X82" s="4">
        <f t="shared" si="4"/>
        <v>-0.35592315809473141</v>
      </c>
      <c r="Y82" s="4">
        <f t="shared" si="5"/>
        <v>5.9040836205379997E-2</v>
      </c>
    </row>
    <row r="83" spans="22:25" x14ac:dyDescent="0.25">
      <c r="V83">
        <v>8.1</v>
      </c>
      <c r="W83">
        <f t="shared" si="3"/>
        <v>4.5765441026420355</v>
      </c>
      <c r="X83" s="4">
        <f t="shared" si="4"/>
        <v>-0.35009502107191243</v>
      </c>
      <c r="Y83" s="4">
        <f t="shared" si="5"/>
        <v>5.7528115618089112E-2</v>
      </c>
    </row>
    <row r="84" spans="22:25" x14ac:dyDescent="0.25">
      <c r="V84">
        <v>8.1999999999999993</v>
      </c>
      <c r="W84">
        <f t="shared" si="3"/>
        <v>4.541819766254477</v>
      </c>
      <c r="X84" s="4">
        <f t="shared" si="4"/>
        <v>-0.34441630211416663</v>
      </c>
      <c r="Y84" s="4">
        <f t="shared" si="5"/>
        <v>5.6052379779263653E-2</v>
      </c>
    </row>
    <row r="85" spans="22:25" x14ac:dyDescent="0.25">
      <c r="V85">
        <v>8.3000000000000007</v>
      </c>
      <c r="W85">
        <f t="shared" si="3"/>
        <v>4.5076559839994301</v>
      </c>
      <c r="X85" s="4">
        <f t="shared" si="4"/>
        <v>-0.33888333174062996</v>
      </c>
      <c r="Y85" s="4">
        <f t="shared" si="5"/>
        <v>5.4613044396018669E-2</v>
      </c>
    </row>
    <row r="86" spans="22:25" x14ac:dyDescent="0.25">
      <c r="V86">
        <v>8.4</v>
      </c>
      <c r="W86">
        <f t="shared" si="3"/>
        <v>4.4740383620157571</v>
      </c>
      <c r="X86" s="4">
        <f t="shared" si="4"/>
        <v>-0.33349250014960691</v>
      </c>
      <c r="Y86" s="4">
        <f t="shared" si="5"/>
        <v>5.3209500904211074E-2</v>
      </c>
    </row>
    <row r="87" spans="22:25" x14ac:dyDescent="0.25">
      <c r="V87">
        <v>8.5</v>
      </c>
      <c r="W87">
        <f t="shared" si="3"/>
        <v>4.4409528643444771</v>
      </c>
      <c r="X87" s="4">
        <f t="shared" si="4"/>
        <v>-0.3282402594348906</v>
      </c>
      <c r="Y87" s="4">
        <f t="shared" si="5"/>
        <v>5.1841120614799452E-2</v>
      </c>
    </row>
    <row r="88" spans="22:25" x14ac:dyDescent="0.25">
      <c r="V88">
        <v>8.6</v>
      </c>
      <c r="W88">
        <f t="shared" si="3"/>
        <v>4.4083858066449952</v>
      </c>
      <c r="X88" s="4">
        <f t="shared" si="4"/>
        <v>-0.32312312540777488</v>
      </c>
      <c r="Y88" s="4">
        <f t="shared" si="5"/>
        <v>5.0507258459539836E-2</v>
      </c>
    </row>
    <row r="89" spans="22:25" x14ac:dyDescent="0.25">
      <c r="V89">
        <v>8.6999999999999993</v>
      </c>
      <c r="W89">
        <f t="shared" si="3"/>
        <v>4.3763238497472443</v>
      </c>
      <c r="X89" s="4">
        <f t="shared" si="4"/>
        <v>-0.31813767906310469</v>
      </c>
      <c r="Y89" s="4">
        <f t="shared" si="5"/>
        <v>4.9207256369941971E-2</v>
      </c>
    </row>
    <row r="90" spans="22:25" x14ac:dyDescent="0.25">
      <c r="V90">
        <v>8.8000000000000007</v>
      </c>
      <c r="W90">
        <f t="shared" si="3"/>
        <v>4.3447539930735246</v>
      </c>
      <c r="X90" s="4">
        <f t="shared" si="4"/>
        <v>-0.31328056772445528</v>
      </c>
      <c r="Y90" s="4">
        <f t="shared" si="5"/>
        <v>4.7940446320719116E-2</v>
      </c>
    </row>
    <row r="91" spans="22:25" x14ac:dyDescent="0.25">
      <c r="V91">
        <v>8.9</v>
      </c>
      <c r="W91">
        <f t="shared" si="3"/>
        <v>4.3136635679605391</v>
      </c>
      <c r="X91" s="4">
        <f t="shared" si="4"/>
        <v>-0.30854850590053573</v>
      </c>
      <c r="Y91" s="4">
        <f t="shared" si="5"/>
        <v>4.6706153066469684E-2</v>
      </c>
    </row>
    <row r="92" spans="22:25" x14ac:dyDescent="0.25">
      <c r="V92">
        <v>9</v>
      </c>
      <c r="W92">
        <f t="shared" si="3"/>
        <v>4.2830402309089788</v>
      </c>
      <c r="X92" s="4">
        <f t="shared" si="4"/>
        <v>-0.30393827588215067</v>
      </c>
      <c r="Y92" s="4">
        <f t="shared" si="5"/>
        <v>4.5503696598019214E-2</v>
      </c>
    </row>
    <row r="93" spans="22:25" x14ac:dyDescent="0.25">
      <c r="V93">
        <v>9.1</v>
      </c>
      <c r="W93">
        <f t="shared" si="3"/>
        <v>4.2528719567852669</v>
      </c>
      <c r="X93" s="4">
        <f t="shared" si="4"/>
        <v>-0.29944672810652528</v>
      </c>
      <c r="Y93" s="4">
        <f t="shared" si="5"/>
        <v>4.4332394342717782E-2</v>
      </c>
    </row>
    <row r="94" spans="22:25" x14ac:dyDescent="0.25">
      <c r="V94">
        <v>9.1999999999999993</v>
      </c>
      <c r="W94">
        <f t="shared" si="3"/>
        <v>4.2231470319974687</v>
      </c>
      <c r="X94" s="4">
        <f t="shared" si="4"/>
        <v>-0.29507078131346454</v>
      </c>
      <c r="Y94" s="4">
        <f t="shared" si="5"/>
        <v>4.3191563131013952E-2</v>
      </c>
    </row>
    <row r="95" spans="22:25" x14ac:dyDescent="0.25">
      <c r="V95">
        <v>9.3000000000000007</v>
      </c>
      <c r="W95">
        <f t="shared" si="3"/>
        <v>4.1938540476650594</v>
      </c>
      <c r="X95" s="4">
        <f t="shared" si="4"/>
        <v>-0.2908074225156797</v>
      </c>
      <c r="Y95" s="4">
        <f t="shared" si="5"/>
        <v>4.2080520949806764E-2</v>
      </c>
    </row>
    <row r="96" spans="22:25" x14ac:dyDescent="0.25">
      <c r="V96">
        <v>9.4</v>
      </c>
      <c r="W96">
        <f t="shared" si="3"/>
        <v>4.1649818928000872</v>
      </c>
      <c r="X96" s="4">
        <f t="shared" si="4"/>
        <v>-0.28665370680365032</v>
      </c>
      <c r="Y96" s="4">
        <f t="shared" si="5"/>
        <v>4.0998588501396989E-2</v>
      </c>
    </row>
    <row r="97" spans="22:25" x14ac:dyDescent="0.25">
      <c r="V97">
        <v>9.5</v>
      </c>
      <c r="W97">
        <f t="shared" si="3"/>
        <v>4.1365197475153499</v>
      </c>
      <c r="X97" s="4">
        <f t="shared" si="4"/>
        <v>-0.28260675700358434</v>
      </c>
      <c r="Y97" s="4">
        <f t="shared" si="5"/>
        <v>3.9945090585309512E-2</v>
      </c>
    </row>
    <row r="98" spans="22:25" x14ac:dyDescent="0.25">
      <c r="V98">
        <v>9.6</v>
      </c>
      <c r="W98">
        <f t="shared" si="3"/>
        <v>4.1084570762734067</v>
      </c>
      <c r="X98" s="4">
        <f t="shared" si="4"/>
        <v>-0.27866376320538738</v>
      </c>
      <c r="Y98" s="4">
        <f t="shared" si="5"/>
        <v>3.8919357318833135E-2</v>
      </c>
    </row>
    <row r="99" spans="22:25" x14ac:dyDescent="0.25">
      <c r="V99">
        <v>9.6999999999999993</v>
      </c>
      <c r="W99">
        <f t="shared" si="3"/>
        <v>4.0807836211886457</v>
      </c>
      <c r="X99" s="4">
        <f t="shared" si="4"/>
        <v>-0.27482198217603188</v>
      </c>
      <c r="Y99" s="4">
        <f t="shared" si="5"/>
        <v>3.7920725210808165E-2</v>
      </c>
    </row>
    <row r="100" spans="22:25" x14ac:dyDescent="0.25">
      <c r="V100">
        <v>9.8000000000000007</v>
      </c>
      <c r="W100">
        <f t="shared" si="3"/>
        <v>4.0534893953931492</v>
      </c>
      <c r="X100" s="4">
        <f t="shared" si="4"/>
        <v>-0.27107873667232363</v>
      </c>
      <c r="Y100" s="4">
        <f t="shared" si="5"/>
        <v>3.6948538101983112E-2</v>
      </c>
    </row>
    <row r="101" spans="22:25" x14ac:dyDescent="0.25">
      <c r="V101">
        <v>9.9</v>
      </c>
      <c r="W101">
        <f t="shared" si="3"/>
        <v>4.0265646764757967</v>
      </c>
      <c r="X101" s="4">
        <f t="shared" si="4"/>
        <v>-0.2674314146657934</v>
      </c>
      <c r="Y101" s="4">
        <f t="shared" si="5"/>
        <v>3.6002147984148546E-2</v>
      </c>
    </row>
    <row r="102" spans="22:25" x14ac:dyDescent="0.25">
      <c r="V102">
        <v>10</v>
      </c>
      <c r="W102">
        <f t="shared" si="3"/>
        <v>3.9999999999927671</v>
      </c>
      <c r="X102" s="4">
        <f t="shared" si="4"/>
        <v>-0.26387746849430671</v>
      </c>
      <c r="Y102" s="4">
        <f t="shared" si="5"/>
        <v>3.5080915709422782E-2</v>
      </c>
    </row>
    <row r="103" spans="22:25" x14ac:dyDescent="0.25">
      <c r="V103">
        <v>10.1</v>
      </c>
      <c r="W103">
        <f t="shared" si="3"/>
        <v>3.9737864203096636</v>
      </c>
      <c r="X103" s="4">
        <f t="shared" si="4"/>
        <v>-0.26040642693649951</v>
      </c>
      <c r="Y103" s="4">
        <f t="shared" si="5"/>
        <v>3.4342802699633961E-2</v>
      </c>
    </row>
    <row r="104" spans="22:25" x14ac:dyDescent="0.25">
      <c r="V104">
        <v>10.199999999999999</v>
      </c>
      <c r="W104">
        <f t="shared" si="3"/>
        <v>3.9479162829185559</v>
      </c>
      <c r="X104" s="4">
        <f t="shared" si="4"/>
        <v>-0.25700833735007672</v>
      </c>
      <c r="Y104" s="4">
        <f t="shared" si="5"/>
        <v>3.36218080802946E-2</v>
      </c>
    </row>
    <row r="105" spans="22:25" x14ac:dyDescent="0.25">
      <c r="V105">
        <v>10.3</v>
      </c>
      <c r="W105">
        <f t="shared" si="3"/>
        <v>3.9223823775355164</v>
      </c>
      <c r="X105" s="4">
        <f t="shared" si="4"/>
        <v>-0.25368150822538099</v>
      </c>
      <c r="Y105" s="4">
        <f t="shared" si="5"/>
        <v>3.2917526576348222E-2</v>
      </c>
    </row>
    <row r="106" spans="22:25" x14ac:dyDescent="0.25">
      <c r="V106">
        <v>10.4</v>
      </c>
      <c r="W106">
        <f t="shared" si="3"/>
        <v>3.8971776610143647</v>
      </c>
      <c r="X106" s="4">
        <f t="shared" si="4"/>
        <v>-0.25042428818545748</v>
      </c>
      <c r="Y106" s="4">
        <f t="shared" si="5"/>
        <v>3.2229560817883002E-2</v>
      </c>
    </row>
    <row r="107" spans="22:25" x14ac:dyDescent="0.25">
      <c r="V107">
        <v>10.5</v>
      </c>
      <c r="W107">
        <f t="shared" si="3"/>
        <v>3.8722952533729953</v>
      </c>
      <c r="X107" s="4">
        <f t="shared" si="4"/>
        <v>-0.24723506519323463</v>
      </c>
      <c r="Y107" s="4">
        <f t="shared" si="5"/>
        <v>3.1557521382121805E-2</v>
      </c>
    </row>
    <row r="108" spans="22:25" x14ac:dyDescent="0.25">
      <c r="V108">
        <v>10.6</v>
      </c>
      <c r="W108">
        <f t="shared" si="3"/>
        <v>3.8477284338991695</v>
      </c>
      <c r="X108" s="4">
        <f t="shared" si="4"/>
        <v>-0.24411226575569128</v>
      </c>
      <c r="Y108" s="4">
        <f t="shared" si="5"/>
        <v>3.0901026812153447E-2</v>
      </c>
    </row>
    <row r="109" spans="22:25" x14ac:dyDescent="0.25">
      <c r="V109">
        <v>10.7</v>
      </c>
      <c r="W109">
        <f t="shared" si="3"/>
        <v>3.8234706373359453</v>
      </c>
      <c r="X109" s="4">
        <f t="shared" si="4"/>
        <v>-0.2410543541272076</v>
      </c>
      <c r="Y109" s="4">
        <f t="shared" si="5"/>
        <v>3.025970361492112E-2</v>
      </c>
    </row>
    <row r="110" spans="22:25" x14ac:dyDescent="0.25">
      <c r="V110">
        <v>10.8</v>
      </c>
      <c r="W110">
        <f t="shared" si="3"/>
        <v>3.799515450146727</v>
      </c>
      <c r="X110" s="4">
        <f t="shared" si="4"/>
        <v>-0.23805983151405841</v>
      </c>
      <c r="Y110" s="4">
        <f t="shared" si="5"/>
        <v>2.9633186240754339E-2</v>
      </c>
    </row>
    <row r="111" spans="22:25" x14ac:dyDescent="0.25">
      <c r="V111">
        <v>10.9</v>
      </c>
      <c r="W111">
        <f t="shared" si="3"/>
        <v>3.7758566068597386</v>
      </c>
      <c r="X111" s="4">
        <f t="shared" si="4"/>
        <v>-0.23512723528178853</v>
      </c>
      <c r="Y111" s="4">
        <f t="shared" si="5"/>
        <v>2.9021117046522198E-2</v>
      </c>
    </row>
    <row r="112" spans="22:25" x14ac:dyDescent="0.25">
      <c r="V112">
        <v>11</v>
      </c>
      <c r="W112">
        <f t="shared" si="3"/>
        <v>3.7524879864915506</v>
      </c>
      <c r="X112" s="4">
        <f t="shared" si="4"/>
        <v>-0.23225513816701204</v>
      </c>
      <c r="Y112" s="4">
        <f t="shared" si="5"/>
        <v>2.8423146244294616E-2</v>
      </c>
    </row>
    <row r="113" spans="22:25" x14ac:dyDescent="0.25">
      <c r="V113">
        <v>11.1</v>
      </c>
      <c r="W113">
        <f t="shared" si="3"/>
        <v>3.7294036090491467</v>
      </c>
      <c r="X113" s="4">
        <f t="shared" si="4"/>
        <v>-0.2294421474949988</v>
      </c>
      <c r="Y113" s="4">
        <f t="shared" si="5"/>
        <v>2.7838931837224565E-2</v>
      </c>
    </row>
    <row r="114" spans="22:25" x14ac:dyDescent="0.25">
      <c r="V114">
        <v>11.2</v>
      </c>
      <c r="W114">
        <f t="shared" si="3"/>
        <v>3.7065976321098923</v>
      </c>
      <c r="X114" s="4">
        <f t="shared" si="4"/>
        <v>-0.22668690440424505</v>
      </c>
      <c r="Y114" s="4">
        <f t="shared" si="5"/>
        <v>2.7268139544205854E-2</v>
      </c>
    </row>
    <row r="115" spans="22:25" x14ac:dyDescent="0.25">
      <c r="V115">
        <v>11.3</v>
      </c>
      <c r="W115">
        <f t="shared" si="3"/>
        <v>3.684064347478651</v>
      </c>
      <c r="X115" s="4">
        <f t="shared" si="4"/>
        <v>-0.22398808307908191</v>
      </c>
      <c r="Y115" s="4">
        <f t="shared" si="5"/>
        <v>2.6710442714716051E-2</v>
      </c>
    </row>
    <row r="116" spans="22:25" x14ac:dyDescent="0.25">
      <c r="V116">
        <v>11.4</v>
      </c>
      <c r="W116">
        <f t="shared" si="3"/>
        <v>3.6617981779212059</v>
      </c>
      <c r="X116" s="4">
        <f t="shared" si="4"/>
        <v>-0.22134438999123479</v>
      </c>
      <c r="Y116" s="4">
        <f t="shared" si="5"/>
        <v>2.6165522235122439E-2</v>
      </c>
    </row>
    <row r="117" spans="22:25" x14ac:dyDescent="0.25">
      <c r="V117">
        <v>11.5</v>
      </c>
      <c r="W117">
        <f t="shared" si="3"/>
        <v>3.6397936739730348</v>
      </c>
      <c r="X117" s="4">
        <f t="shared" si="4"/>
        <v>-0.21875456315113145</v>
      </c>
      <c r="Y117" s="4">
        <f t="shared" si="5"/>
        <v>2.5633066427608708E-2</v>
      </c>
    </row>
    <row r="118" spans="22:25" x14ac:dyDescent="0.25">
      <c r="V118">
        <v>11.6</v>
      </c>
      <c r="W118">
        <f t="shared" si="3"/>
        <v>3.618045510822439</v>
      </c>
      <c r="X118" s="4">
        <f t="shared" si="4"/>
        <v>-0.21621737136964192</v>
      </c>
      <c r="Y118" s="4">
        <f t="shared" si="5"/>
        <v>2.5112770942769872E-2</v>
      </c>
    </row>
    <row r="119" spans="22:25" x14ac:dyDescent="0.25">
      <c r="V119">
        <v>11.7</v>
      </c>
      <c r="W119">
        <f t="shared" si="3"/>
        <v>3.5965484852669682</v>
      </c>
      <c r="X119" s="4">
        <f t="shared" si="4"/>
        <v>-0.21373161353083525</v>
      </c>
      <c r="Y119" s="4">
        <f t="shared" si="5"/>
        <v>2.4604338646823536E-2</v>
      </c>
    </row>
    <row r="120" spans="22:25" x14ac:dyDescent="0.25">
      <c r="V120">
        <v>11.8</v>
      </c>
      <c r="W120">
        <f t="shared" si="3"/>
        <v>3.5752975127419675</v>
      </c>
      <c r="X120" s="4">
        <f t="shared" si="4"/>
        <v>-0.21129611787624947</v>
      </c>
      <c r="Y120" s="4">
        <f t="shared" si="5"/>
        <v>2.4107479504293865E-2</v>
      </c>
    </row>
    <row r="121" spans="22:25" x14ac:dyDescent="0.25">
      <c r="V121">
        <v>11.9</v>
      </c>
      <c r="W121">
        <f t="shared" si="3"/>
        <v>3.5542876244201373</v>
      </c>
      <c r="X121" s="4">
        <f t="shared" si="4"/>
        <v>-0.20890974130108553</v>
      </c>
      <c r="Y121" s="4">
        <f t="shared" si="5"/>
        <v>2.3621910456941515E-2</v>
      </c>
    </row>
    <row r="122" spans="22:25" x14ac:dyDescent="0.25">
      <c r="V122">
        <v>12</v>
      </c>
      <c r="W122">
        <f t="shared" si="3"/>
        <v>3.5335139643808384</v>
      </c>
      <c r="X122" s="4">
        <f t="shared" si="4"/>
        <v>-0.20657136866266712</v>
      </c>
      <c r="Y122" s="4">
        <f t="shared" si="5"/>
        <v>2.3147355299637094E-2</v>
      </c>
    </row>
    <row r="123" spans="22:25" x14ac:dyDescent="0.25">
      <c r="V123">
        <v>12.1</v>
      </c>
      <c r="W123">
        <f t="shared" si="3"/>
        <v>3.5129717868479373</v>
      </c>
      <c r="X123" s="4">
        <f t="shared" si="4"/>
        <v>-0.20427991210144036</v>
      </c>
      <c r="Y123" s="4">
        <f t="shared" si="5"/>
        <v>2.2683544553806591E-2</v>
      </c>
    </row>
    <row r="124" spans="22:25" x14ac:dyDescent="0.25">
      <c r="V124">
        <v>12.2</v>
      </c>
      <c r="W124">
        <f t="shared" si="3"/>
        <v>3.4926564534949134</v>
      </c>
      <c r="X124" s="4">
        <f t="shared" si="4"/>
        <v>-0.20203431037472513</v>
      </c>
      <c r="Y124" s="4">
        <f t="shared" si="5"/>
        <v>2.223021533901386E-2</v>
      </c>
    </row>
    <row r="125" spans="22:25" x14ac:dyDescent="0.25">
      <c r="V125">
        <v>12.3</v>
      </c>
      <c r="W125">
        <f t="shared" si="3"/>
        <v>3.4725634308159474</v>
      </c>
      <c r="X125" s="4">
        <f t="shared" si="4"/>
        <v>-0.19983352820338068</v>
      </c>
      <c r="Y125" s="4">
        <f t="shared" si="5"/>
        <v>2.1787111243188276E-2</v>
      </c>
    </row>
    <row r="126" spans="22:25" x14ac:dyDescent="0.25">
      <c r="V126">
        <v>12.4</v>
      </c>
      <c r="W126">
        <f t="shared" si="3"/>
        <v>3.4526882875616933</v>
      </c>
      <c r="X126" s="4">
        <f t="shared" si="4"/>
        <v>-0.19767655563149727</v>
      </c>
      <c r="Y126" s="4">
        <f t="shared" si="5"/>
        <v>2.1353982191953117E-2</v>
      </c>
    </row>
    <row r="127" spans="22:25" x14ac:dyDescent="0.25">
      <c r="V127">
        <v>12.5</v>
      </c>
      <c r="W127">
        <f t="shared" si="3"/>
        <v>3.4330266922384194</v>
      </c>
      <c r="X127" s="4">
        <f t="shared" si="4"/>
        <v>-0.1955624073991821</v>
      </c>
      <c r="Y127" s="4">
        <f t="shared" si="5"/>
        <v>2.0930584317462492E-2</v>
      </c>
    </row>
    <row r="128" spans="22:25" x14ac:dyDescent="0.25">
      <c r="V128">
        <v>12.6</v>
      </c>
      <c r="W128">
        <f t="shared" si="3"/>
        <v>3.413574410669225</v>
      </c>
      <c r="X128" s="4">
        <f t="shared" si="4"/>
        <v>-0.19349012232847135</v>
      </c>
      <c r="Y128" s="4">
        <f t="shared" si="5"/>
        <v>2.0516679827111556E-2</v>
      </c>
    </row>
    <row r="129" spans="22:25" x14ac:dyDescent="0.25">
      <c r="V129">
        <v>12.7</v>
      </c>
      <c r="W129">
        <f t="shared" si="3"/>
        <v>3.3943273036160062</v>
      </c>
      <c r="X129" s="4">
        <f t="shared" si="4"/>
        <v>-0.19145876272236306</v>
      </c>
      <c r="Y129" s="4">
        <f t="shared" si="5"/>
        <v>2.0112036872444894E-2</v>
      </c>
    </row>
    <row r="130" spans="22:25" x14ac:dyDescent="0.25">
      <c r="V130">
        <v>12.8</v>
      </c>
      <c r="W130">
        <f t="shared" si="3"/>
        <v>3.3752813244608588</v>
      </c>
      <c r="X130" s="4">
        <f t="shared" si="4"/>
        <v>-0.18946741377693826</v>
      </c>
      <c r="Y130" s="4">
        <f t="shared" si="5"/>
        <v>1.9716429418552405E-2</v>
      </c>
    </row>
    <row r="131" spans="22:25" x14ac:dyDescent="0.25">
      <c r="V131">
        <v>12.9</v>
      </c>
      <c r="W131">
        <f t="shared" ref="W131:W194" si="6">cfSab_mat(V131, $B$7:$E$11, $A$4:$E$4)</f>
        <v>3.3564325169456239</v>
      </c>
      <c r="X131" s="4">
        <f t="shared" ref="X131:X194" si="7">c_fSab_mat(V131, $B$7:$E$11, $A$4:$E$4)</f>
        <v>-0.18751518300650616</v>
      </c>
      <c r="Y131" s="4">
        <f t="shared" ref="Y131:Y194" si="8">c__fSab_mat(V131, $B$7:$E$11, $A$4:$E$4)</f>
        <v>1.9329637114208861E-2</v>
      </c>
    </row>
    <row r="132" spans="22:25" x14ac:dyDescent="0.25">
      <c r="V132">
        <v>13</v>
      </c>
      <c r="W132">
        <f t="shared" si="6"/>
        <v>3.3377770129682665</v>
      </c>
      <c r="X132" s="4">
        <f t="shared" si="7"/>
        <v>-0.18560119968168914</v>
      </c>
      <c r="Y132" s="4">
        <f t="shared" si="8"/>
        <v>1.8951445162984033E-2</v>
      </c>
    </row>
    <row r="133" spans="22:25" x14ac:dyDescent="0.25">
      <c r="V133">
        <v>13.1</v>
      </c>
      <c r="W133">
        <f t="shared" si="6"/>
        <v>3.319311030434803</v>
      </c>
      <c r="X133" s="4">
        <f t="shared" si="7"/>
        <v>-0.18372461428034001</v>
      </c>
      <c r="Y133" s="4">
        <f t="shared" si="8"/>
        <v>1.8581644195522998E-2</v>
      </c>
    </row>
    <row r="134" spans="22:25" x14ac:dyDescent="0.25">
      <c r="V134">
        <v>13.2</v>
      </c>
      <c r="W134">
        <f t="shared" si="6"/>
        <v>3.3010308711655094</v>
      </c>
      <c r="X134" s="4">
        <f t="shared" si="7"/>
        <v>-0.18188459795116491</v>
      </c>
      <c r="Y134" s="4">
        <f t="shared" si="8"/>
        <v>1.8220030143171813E-2</v>
      </c>
    </row>
    <row r="135" spans="22:25" x14ac:dyDescent="0.25">
      <c r="V135">
        <v>13.3</v>
      </c>
      <c r="W135">
        <f t="shared" si="6"/>
        <v>3.2829329188541223</v>
      </c>
      <c r="X135" s="4">
        <f t="shared" si="7"/>
        <v>-0.18008034198990996</v>
      </c>
      <c r="Y135" s="4">
        <f t="shared" si="8"/>
        <v>1.7866404113101298E-2</v>
      </c>
    </row>
    <row r="136" spans="22:25" x14ac:dyDescent="0.25">
      <c r="V136">
        <v>13.4</v>
      </c>
      <c r="W136">
        <f t="shared" si="6"/>
        <v>3.2650136370788116</v>
      </c>
      <c r="X136" s="4">
        <f t="shared" si="7"/>
        <v>-0.17831105732795566</v>
      </c>
      <c r="Y136" s="4">
        <f t="shared" si="8"/>
        <v>1.7520572265061828E-2</v>
      </c>
    </row>
    <row r="137" spans="22:25" x14ac:dyDescent="0.25">
      <c r="V137">
        <v>13.5</v>
      </c>
      <c r="W137">
        <f t="shared" si="6"/>
        <v>3.2472695673636793</v>
      </c>
      <c r="X137" s="4">
        <f t="shared" si="7"/>
        <v>-0.17657597403314806</v>
      </c>
      <c r="Y137" s="4">
        <f t="shared" si="8"/>
        <v>1.7182345689883131E-2</v>
      </c>
    </row>
    <row r="138" spans="22:25" x14ac:dyDescent="0.25">
      <c r="V138">
        <v>13.6</v>
      </c>
      <c r="W138">
        <f t="shared" si="6"/>
        <v>3.2296973272895628</v>
      </c>
      <c r="X138" s="4">
        <f t="shared" si="7"/>
        <v>-0.17487434082269018</v>
      </c>
      <c r="Y138" s="4">
        <f t="shared" si="8"/>
        <v>1.6851540289817189E-2</v>
      </c>
    </row>
    <row r="139" spans="22:25" x14ac:dyDescent="0.25">
      <c r="V139">
        <v>13.7</v>
      </c>
      <c r="W139">
        <f t="shared" si="6"/>
        <v>3.2122936086529625</v>
      </c>
      <c r="X139" s="4">
        <f t="shared" si="7"/>
        <v>-0.17320542458790245</v>
      </c>
      <c r="Y139" s="4">
        <f t="shared" si="8"/>
        <v>1.6527976660806673E-2</v>
      </c>
    </row>
    <row r="140" spans="22:25" x14ac:dyDescent="0.25">
      <c r="V140">
        <v>13.8</v>
      </c>
      <c r="W140">
        <f t="shared" si="6"/>
        <v>3.1950551756719054</v>
      </c>
      <c r="X140" s="4">
        <f t="shared" si="7"/>
        <v>-0.17156850993065714</v>
      </c>
      <c r="Y140" s="4">
        <f t="shared" si="8"/>
        <v>1.6211479976748145E-2</v>
      </c>
    </row>
    <row r="141" spans="22:25" x14ac:dyDescent="0.25">
      <c r="V141">
        <v>13.9</v>
      </c>
      <c r="W141">
        <f t="shared" si="6"/>
        <v>3.1779788632375863</v>
      </c>
      <c r="X141" s="4">
        <f t="shared" si="7"/>
        <v>-0.16996289871128489</v>
      </c>
      <c r="Y141" s="4">
        <f t="shared" si="8"/>
        <v>1.5901879875806935E-2</v>
      </c>
    </row>
    <row r="142" spans="22:25" x14ac:dyDescent="0.25">
      <c r="V142">
        <v>14</v>
      </c>
      <c r="W142">
        <f t="shared" si="6"/>
        <v>3.1610615752106614</v>
      </c>
      <c r="X142" s="4">
        <f t="shared" si="7"/>
        <v>-0.16838790960774475</v>
      </c>
      <c r="Y142" s="4">
        <f t="shared" si="8"/>
        <v>1.55990103488293E-2</v>
      </c>
    </row>
    <row r="143" spans="22:25" x14ac:dyDescent="0.25">
      <c r="V143">
        <v>14.1</v>
      </c>
      <c r="W143">
        <f t="shared" si="6"/>
        <v>3.1443002827610584</v>
      </c>
      <c r="X143" s="4">
        <f t="shared" si="7"/>
        <v>-0.16684287768584644</v>
      </c>
      <c r="Y143" s="4">
        <f t="shared" si="8"/>
        <v>1.5302709629887805E-2</v>
      </c>
    </row>
    <row r="144" spans="22:25" x14ac:dyDescent="0.25">
      <c r="V144">
        <v>14.2</v>
      </c>
      <c r="W144">
        <f t="shared" si="6"/>
        <v>3.1276920227502343</v>
      </c>
      <c r="X144" s="4">
        <f t="shared" si="7"/>
        <v>-0.16532715398031089</v>
      </c>
      <c r="Y144" s="4">
        <f t="shared" si="8"/>
        <v>1.5012820088986712E-2</v>
      </c>
    </row>
    <row r="145" spans="22:25" x14ac:dyDescent="0.25">
      <c r="V145">
        <v>14.3</v>
      </c>
      <c r="W145">
        <f t="shared" si="6"/>
        <v>3.1112338961547863</v>
      </c>
      <c r="X145" s="4">
        <f t="shared" si="7"/>
        <v>-0.16384010508645108</v>
      </c>
      <c r="Y145" s="4">
        <f t="shared" si="8"/>
        <v>1.4729188126946019E-2</v>
      </c>
    </row>
    <row r="146" spans="22:25" x14ac:dyDescent="0.25">
      <c r="V146">
        <v>14.4</v>
      </c>
      <c r="W146">
        <f t="shared" si="6"/>
        <v>3.0949230665303711</v>
      </c>
      <c r="X146" s="4">
        <f t="shared" si="7"/>
        <v>-0.16238111276225481</v>
      </c>
      <c r="Y146" s="4">
        <f t="shared" si="8"/>
        <v>1.4451664072475777E-2</v>
      </c>
    </row>
    <row r="147" spans="22:25" x14ac:dyDescent="0.25">
      <c r="V147">
        <v>14.5</v>
      </c>
      <c r="W147">
        <f t="shared" si="6"/>
        <v>3.0787567585149116</v>
      </c>
      <c r="X147" s="4">
        <f t="shared" si="7"/>
        <v>-0.16094957354065054</v>
      </c>
      <c r="Y147" s="4">
        <f t="shared" si="8"/>
        <v>1.4180102081445559E-2</v>
      </c>
    </row>
    <row r="148" spans="22:25" x14ac:dyDescent="0.25">
      <c r="V148">
        <v>14.6</v>
      </c>
      <c r="W148">
        <f t="shared" si="6"/>
        <v>3.0627322563700714</v>
      </c>
      <c r="X148" s="4">
        <f t="shared" si="7"/>
        <v>-0.1595448983517368</v>
      </c>
      <c r="Y148" s="4">
        <f t="shared" si="8"/>
        <v>1.3914360038348469E-2</v>
      </c>
    </row>
    <row r="149" spans="22:25" x14ac:dyDescent="0.25">
      <c r="V149">
        <v>14.7</v>
      </c>
      <c r="W149">
        <f t="shared" si="6"/>
        <v>3.0468469025600209</v>
      </c>
      <c r="X149" s="4">
        <f t="shared" si="7"/>
        <v>-0.15816651215475508</v>
      </c>
      <c r="Y149" s="4">
        <f t="shared" si="8"/>
        <v>1.3654299459953546E-2</v>
      </c>
    </row>
    <row r="150" spans="22:25" x14ac:dyDescent="0.25">
      <c r="V150">
        <v>14.8</v>
      </c>
      <c r="W150">
        <f t="shared" si="6"/>
        <v>3.0310980963665273</v>
      </c>
      <c r="X150" s="4">
        <f t="shared" si="7"/>
        <v>-0.15681385357958882</v>
      </c>
      <c r="Y150" s="4">
        <f t="shared" si="8"/>
        <v>1.3399785401136252E-2</v>
      </c>
    </row>
    <row r="151" spans="22:25" x14ac:dyDescent="0.25">
      <c r="V151">
        <v>14.9</v>
      </c>
      <c r="W151">
        <f t="shared" si="6"/>
        <v>3.0154832925394208</v>
      </c>
      <c r="X151" s="4">
        <f t="shared" si="7"/>
        <v>-0.15548637457757158</v>
      </c>
      <c r="Y151" s="4">
        <f t="shared" si="8"/>
        <v>1.3150686362872289E-2</v>
      </c>
    </row>
    <row r="152" spans="22:25" x14ac:dyDescent="0.25">
      <c r="V152">
        <v>15</v>
      </c>
      <c r="W152">
        <f t="shared" si="6"/>
        <v>2.9999999999999498</v>
      </c>
      <c r="X152" s="4">
        <f t="shared" si="7"/>
        <v>-0.15418354007990068</v>
      </c>
      <c r="Y152" s="4">
        <f t="shared" si="8"/>
        <v>1.2906874202068578E-2</v>
      </c>
    </row>
    <row r="153" spans="22:25" x14ac:dyDescent="0.25">
      <c r="V153">
        <v>15.1</v>
      </c>
      <c r="W153">
        <f t="shared" si="6"/>
        <v>2.9846459189227454</v>
      </c>
      <c r="X153" s="4">
        <f t="shared" si="7"/>
        <v>-0.1529006851609499</v>
      </c>
      <c r="Y153" s="4">
        <f t="shared" si="8"/>
        <v>1.2750651502593384E-2</v>
      </c>
    </row>
    <row r="154" spans="22:25" x14ac:dyDescent="0.25">
      <c r="V154">
        <v>15.2</v>
      </c>
      <c r="W154">
        <f t="shared" si="6"/>
        <v>2.9694193464750023</v>
      </c>
      <c r="X154" s="4">
        <f t="shared" si="7"/>
        <v>-0.15163332520118189</v>
      </c>
      <c r="Y154" s="4">
        <f t="shared" si="8"/>
        <v>1.259696619415672E-2</v>
      </c>
    </row>
    <row r="155" spans="22:25" x14ac:dyDescent="0.25">
      <c r="V155">
        <v>15.3</v>
      </c>
      <c r="W155">
        <f t="shared" si="6"/>
        <v>2.9543187457600757</v>
      </c>
      <c r="X155" s="4">
        <f t="shared" si="7"/>
        <v>-0.15038120908645553</v>
      </c>
      <c r="Y155" s="4">
        <f t="shared" si="8"/>
        <v>1.2445765999306869E-2</v>
      </c>
    </row>
    <row r="156" spans="22:25" x14ac:dyDescent="0.25">
      <c r="V156">
        <v>15.4</v>
      </c>
      <c r="W156">
        <f t="shared" si="6"/>
        <v>2.939342604733544</v>
      </c>
      <c r="X156" s="4">
        <f t="shared" si="7"/>
        <v>-0.1491440908644957</v>
      </c>
      <c r="Y156" s="4">
        <f t="shared" si="8"/>
        <v>1.2296999951601564E-2</v>
      </c>
    </row>
    <row r="157" spans="22:25" x14ac:dyDescent="0.25">
      <c r="V157">
        <v>15.5</v>
      </c>
      <c r="W157">
        <f t="shared" si="6"/>
        <v>2.9244894356935212</v>
      </c>
      <c r="X157" s="4">
        <f t="shared" si="7"/>
        <v>-0.14792172961574279</v>
      </c>
      <c r="Y157" s="4">
        <f t="shared" si="8"/>
        <v>1.2150618356821125E-2</v>
      </c>
    </row>
    <row r="158" spans="22:25" x14ac:dyDescent="0.25">
      <c r="V158">
        <v>15.6</v>
      </c>
      <c r="W158">
        <f t="shared" si="6"/>
        <v>2.9097577747836794</v>
      </c>
      <c r="X158" s="4">
        <f t="shared" si="7"/>
        <v>-0.1467138893280143</v>
      </c>
      <c r="Y158" s="4">
        <f t="shared" si="8"/>
        <v>1.2006572755502593E-2</v>
      </c>
    </row>
    <row r="159" spans="22:25" x14ac:dyDescent="0.25">
      <c r="V159">
        <v>15.7</v>
      </c>
      <c r="W159">
        <f t="shared" si="6"/>
        <v>2.8951461815086179</v>
      </c>
      <c r="X159" s="4">
        <f t="shared" si="7"/>
        <v>-0.14552033877484968</v>
      </c>
      <c r="Y159" s="4">
        <f t="shared" si="8"/>
        <v>1.1864815886744109E-2</v>
      </c>
    </row>
    <row r="160" spans="22:25" x14ac:dyDescent="0.25">
      <c r="V160">
        <v>15.8</v>
      </c>
      <c r="W160">
        <f t="shared" si="6"/>
        <v>2.8806532382612433</v>
      </c>
      <c r="X160" s="4">
        <f t="shared" si="7"/>
        <v>-0.14434085139741248</v>
      </c>
      <c r="Y160" s="4">
        <f t="shared" si="8"/>
        <v>1.172530165323089E-2</v>
      </c>
    </row>
    <row r="161" spans="22:25" x14ac:dyDescent="0.25">
      <c r="V161">
        <v>15.9</v>
      </c>
      <c r="W161">
        <f t="shared" si="6"/>
        <v>2.8662775498617448</v>
      </c>
      <c r="X161" s="4">
        <f t="shared" si="7"/>
        <v>-0.14317520518983171</v>
      </c>
      <c r="Y161" s="4">
        <f t="shared" si="8"/>
        <v>1.1587985087436258E-2</v>
      </c>
    </row>
    <row r="162" spans="22:25" x14ac:dyDescent="0.25">
      <c r="V162">
        <v>16</v>
      </c>
      <c r="W162">
        <f t="shared" si="6"/>
        <v>2.8520177431079023</v>
      </c>
      <c r="X162" s="4">
        <f t="shared" si="7"/>
        <v>-0.14202318258786539</v>
      </c>
      <c r="Y162" s="4">
        <f t="shared" si="8"/>
        <v>1.1452822318953228E-2</v>
      </c>
    </row>
    <row r="163" spans="22:25" x14ac:dyDescent="0.25">
      <c r="V163">
        <v>16.100000000000001</v>
      </c>
      <c r="W163">
        <f t="shared" si="6"/>
        <v>2.8378724663363717</v>
      </c>
      <c r="X163" s="4">
        <f t="shared" si="7"/>
        <v>-0.14088457036077617</v>
      </c>
      <c r="Y163" s="4">
        <f t="shared" si="8"/>
        <v>1.1319770542913865E-2</v>
      </c>
    </row>
    <row r="164" spans="22:25" x14ac:dyDescent="0.25">
      <c r="V164">
        <v>16.2</v>
      </c>
      <c r="W164">
        <f t="shared" si="6"/>
        <v>2.8238403889945802</v>
      </c>
      <c r="X164" s="4">
        <f t="shared" si="7"/>
        <v>-0.1397591595063136</v>
      </c>
      <c r="Y164" s="4">
        <f t="shared" si="8"/>
        <v>1.1188787989455592E-2</v>
      </c>
    </row>
    <row r="165" spans="22:25" x14ac:dyDescent="0.25">
      <c r="V165">
        <v>16.3</v>
      </c>
      <c r="W165">
        <f t="shared" si="6"/>
        <v>2.8099202012230222</v>
      </c>
      <c r="X165" s="4">
        <f t="shared" si="7"/>
        <v>-0.13864674514869715</v>
      </c>
      <c r="Y165" s="4">
        <f t="shared" si="8"/>
        <v>1.1059833894195202E-2</v>
      </c>
    </row>
    <row r="166" spans="22:25" x14ac:dyDescent="0.25">
      <c r="V166">
        <v>16.399999999999999</v>
      </c>
      <c r="W166">
        <f t="shared" si="6"/>
        <v>2.7961106134475942</v>
      </c>
      <c r="X166" s="4">
        <f t="shared" si="7"/>
        <v>-0.13754712643950467</v>
      </c>
      <c r="Y166" s="4">
        <f t="shared" si="8"/>
        <v>1.0932868469673007E-2</v>
      </c>
    </row>
    <row r="167" spans="22:25" x14ac:dyDescent="0.25">
      <c r="V167">
        <v>16.5</v>
      </c>
      <c r="W167">
        <f t="shared" si="6"/>
        <v>2.7824103559816833</v>
      </c>
      <c r="X167" s="4">
        <f t="shared" si="7"/>
        <v>-0.13646010646136819</v>
      </c>
      <c r="Y167" s="4">
        <f t="shared" si="8"/>
        <v>1.0807852877731158E-2</v>
      </c>
    </row>
    <row r="168" spans="22:25" x14ac:dyDescent="0.25">
      <c r="V168">
        <v>16.600000000000001</v>
      </c>
      <c r="W168">
        <f t="shared" si="6"/>
        <v>2.7688181786377783</v>
      </c>
      <c r="X168" s="4">
        <f t="shared" si="7"/>
        <v>-0.1353854921343878</v>
      </c>
      <c r="Y168" s="4">
        <f t="shared" si="8"/>
        <v>1.0684749202791598E-2</v>
      </c>
    </row>
    <row r="169" spans="22:25" x14ac:dyDescent="0.25">
      <c r="V169">
        <v>16.7</v>
      </c>
      <c r="W169">
        <f t="shared" si="6"/>
        <v>2.7553328503482764</v>
      </c>
      <c r="X169" s="4">
        <f t="shared" si="7"/>
        <v>-0.13432309412517335</v>
      </c>
      <c r="Y169" s="4">
        <f t="shared" si="8"/>
        <v>1.0563520426000502E-2</v>
      </c>
    </row>
    <row r="170" spans="22:25" x14ac:dyDescent="0.25">
      <c r="V170">
        <v>16.8</v>
      </c>
      <c r="W170">
        <f t="shared" si="6"/>
        <v>2.7419531587952957</v>
      </c>
      <c r="X170" s="4">
        <f t="shared" si="7"/>
        <v>-0.13327272675842941</v>
      </c>
      <c r="Y170" s="4">
        <f t="shared" si="8"/>
        <v>1.0444130400207486E-2</v>
      </c>
    </row>
    <row r="171" spans="22:25" x14ac:dyDescent="0.25">
      <c r="V171">
        <v>16.899999999999999</v>
      </c>
      <c r="W171">
        <f t="shared" si="6"/>
        <v>2.7286779100491558</v>
      </c>
      <c r="X171" s="4">
        <f t="shared" si="7"/>
        <v>-0.13223420793100296</v>
      </c>
      <c r="Y171" s="4">
        <f t="shared" si="8"/>
        <v>1.0326543825749155E-2</v>
      </c>
    </row>
    <row r="172" spans="22:25" x14ac:dyDescent="0.25">
      <c r="V172">
        <v>17</v>
      </c>
      <c r="W172">
        <f t="shared" si="6"/>
        <v>2.7155059282153884</v>
      </c>
      <c r="X172" s="4">
        <f t="shared" si="7"/>
        <v>-0.1312073590283126</v>
      </c>
      <c r="Y172" s="4">
        <f t="shared" si="8"/>
        <v>1.0210726227007701E-2</v>
      </c>
    </row>
    <row r="173" spans="22:25" x14ac:dyDescent="0.25">
      <c r="V173">
        <v>17.100000000000001</v>
      </c>
      <c r="W173">
        <f t="shared" si="6"/>
        <v>2.7024360550899424</v>
      </c>
      <c r="X173" s="4">
        <f t="shared" si="7"/>
        <v>-0.13019200484308555</v>
      </c>
      <c r="Y173" s="4">
        <f t="shared" si="8"/>
        <v>1.0096643929716613E-2</v>
      </c>
    </row>
    <row r="174" spans="22:25" x14ac:dyDescent="0.25">
      <c r="V174">
        <v>17.2</v>
      </c>
      <c r="W174">
        <f t="shared" si="6"/>
        <v>2.6894671498224358</v>
      </c>
      <c r="X174" s="4">
        <f t="shared" si="7"/>
        <v>-0.12918797349632616</v>
      </c>
      <c r="Y174" s="4">
        <f t="shared" si="8"/>
        <v>9.9842640389864248E-3</v>
      </c>
    </row>
    <row r="175" spans="22:25" x14ac:dyDescent="0.25">
      <c r="V175">
        <v>17.3</v>
      </c>
      <c r="W175">
        <f t="shared" si="6"/>
        <v>2.6765980885871783</v>
      </c>
      <c r="X175" s="4">
        <f t="shared" si="7"/>
        <v>-0.12819509636044862</v>
      </c>
      <c r="Y175" s="4">
        <f t="shared" si="8"/>
        <v>9.873554418024847E-3</v>
      </c>
    </row>
    <row r="176" spans="22:25" x14ac:dyDescent="0.25">
      <c r="V176">
        <v>17.399999999999999</v>
      </c>
      <c r="W176">
        <f t="shared" si="6"/>
        <v>2.6638277642617973</v>
      </c>
      <c r="X176" s="4">
        <f t="shared" si="7"/>
        <v>-0.12721320798450295</v>
      </c>
      <c r="Y176" s="4">
        <f t="shared" si="8"/>
        <v>9.7644836675263753E-3</v>
      </c>
    </row>
    <row r="177" spans="22:25" x14ac:dyDescent="0.25">
      <c r="V177">
        <v>17.5</v>
      </c>
      <c r="W177">
        <f t="shared" si="6"/>
        <v>2.651155086113218</v>
      </c>
      <c r="X177" s="4">
        <f t="shared" si="7"/>
        <v>-0.12624214602142975</v>
      </c>
      <c r="Y177" s="4">
        <f t="shared" si="8"/>
        <v>9.6570211057075504E-3</v>
      </c>
    </row>
    <row r="178" spans="22:25" x14ac:dyDescent="0.25">
      <c r="V178">
        <v>17.600000000000001</v>
      </c>
      <c r="W178">
        <f t="shared" si="6"/>
        <v>2.6385789794908399</v>
      </c>
      <c r="X178" s="4">
        <f t="shared" si="7"/>
        <v>-0.12528175115728041</v>
      </c>
      <c r="Y178" s="4">
        <f t="shared" si="8"/>
        <v>9.5511367489650844E-3</v>
      </c>
    </row>
    <row r="179" spans="22:25" x14ac:dyDescent="0.25">
      <c r="V179">
        <v>17.7</v>
      </c>
      <c r="W179">
        <f t="shared" si="6"/>
        <v>2.6260983855266735</v>
      </c>
      <c r="X179" s="4">
        <f t="shared" si="7"/>
        <v>-0.12433186704234105</v>
      </c>
      <c r="Y179" s="4">
        <f t="shared" si="8"/>
        <v>9.4468012931347833E-3</v>
      </c>
    </row>
    <row r="180" spans="22:25" x14ac:dyDescent="0.25">
      <c r="V180">
        <v>17.8</v>
      </c>
      <c r="W180">
        <f t="shared" si="6"/>
        <v>2.6137122608422936</v>
      </c>
      <c r="X180" s="4">
        <f t="shared" si="7"/>
        <v>-0.12339234022410109</v>
      </c>
      <c r="Y180" s="4">
        <f t="shared" si="8"/>
        <v>9.3439860953301954E-3</v>
      </c>
    </row>
    <row r="181" spans="22:25" x14ac:dyDescent="0.25">
      <c r="V181">
        <v>17.899999999999999</v>
      </c>
      <c r="W181">
        <f t="shared" si="6"/>
        <v>2.601419577262392</v>
      </c>
      <c r="X181" s="4">
        <f t="shared" si="7"/>
        <v>-0.12246302008201063</v>
      </c>
      <c r="Y181" s="4">
        <f t="shared" si="8"/>
        <v>9.2426631563407614E-3</v>
      </c>
    </row>
    <row r="182" spans="22:25" x14ac:dyDescent="0.25">
      <c r="V182">
        <v>18</v>
      </c>
      <c r="W182">
        <f t="shared" si="6"/>
        <v>2.5892193215347645</v>
      </c>
      <c r="X182" s="4">
        <f t="shared" si="7"/>
        <v>-0.1215437587639701</v>
      </c>
      <c r="Y182" s="4">
        <f t="shared" si="8"/>
        <v>9.1428051035698493E-3</v>
      </c>
    </row>
    <row r="183" spans="22:25" x14ac:dyDescent="0.25">
      <c r="V183">
        <v>18.100000000000001</v>
      </c>
      <c r="W183">
        <f t="shared" si="6"/>
        <v>2.5771104950565844</v>
      </c>
      <c r="X183" s="4">
        <f t="shared" si="7"/>
        <v>-0.12063441112450013</v>
      </c>
      <c r="Y183" s="4">
        <f t="shared" si="8"/>
        <v>9.0443851744940688E-3</v>
      </c>
    </row>
    <row r="184" spans="22:25" x14ac:dyDescent="0.25">
      <c r="V184">
        <v>18.2</v>
      </c>
      <c r="W184">
        <f t="shared" si="6"/>
        <v>2.5650921136067559</v>
      </c>
      <c r="X184" s="4">
        <f t="shared" si="7"/>
        <v>-0.11973483466454041</v>
      </c>
      <c r="Y184" s="4">
        <f t="shared" si="8"/>
        <v>8.9473772006257411E-3</v>
      </c>
    </row>
    <row r="185" spans="22:25" x14ac:dyDescent="0.25">
      <c r="V185">
        <v>18.3</v>
      </c>
      <c r="W185">
        <f t="shared" si="6"/>
        <v>2.5531632070842134</v>
      </c>
      <c r="X185" s="4">
        <f t="shared" si="7"/>
        <v>-0.11884488947282748</v>
      </c>
      <c r="Y185" s="4">
        <f t="shared" si="8"/>
        <v>8.851755591961304E-3</v>
      </c>
    </row>
    <row r="186" spans="22:25" x14ac:dyDescent="0.25">
      <c r="V186">
        <v>18.399999999999999</v>
      </c>
      <c r="W186">
        <f t="shared" si="6"/>
        <v>2.5413228192520174</v>
      </c>
      <c r="X186" s="4">
        <f t="shared" si="7"/>
        <v>-0.11796443816880446</v>
      </c>
      <c r="Y186" s="4">
        <f t="shared" si="8"/>
        <v>8.757495321898923E-3</v>
      </c>
    </row>
    <row r="187" spans="22:25" x14ac:dyDescent="0.25">
      <c r="V187">
        <v>18.5</v>
      </c>
      <c r="W187">
        <f t="shared" si="6"/>
        <v>2.529570007487068</v>
      </c>
      <c r="X187" s="4">
        <f t="shared" si="7"/>
        <v>-0.11709334584701585</v>
      </c>
      <c r="Y187" s="4">
        <f t="shared" si="8"/>
        <v>8.6645719126093191E-3</v>
      </c>
    </row>
    <row r="188" spans="22:25" x14ac:dyDescent="0.25">
      <c r="V188">
        <v>18.600000000000001</v>
      </c>
      <c r="W188">
        <f t="shared" si="6"/>
        <v>2.5179038425353206</v>
      </c>
      <c r="X188" s="4">
        <f t="shared" si="7"/>
        <v>-0.11623148002294369</v>
      </c>
      <c r="Y188" s="4">
        <f t="shared" si="8"/>
        <v>8.5729614208444275E-3</v>
      </c>
    </row>
    <row r="189" spans="22:25" x14ac:dyDescent="0.25">
      <c r="V189">
        <v>18.7</v>
      </c>
      <c r="W189">
        <f t="shared" si="6"/>
        <v>2.5063234082723409</v>
      </c>
      <c r="X189" s="4">
        <f t="shared" si="7"/>
        <v>-0.1153787105802411</v>
      </c>
      <c r="Y189" s="4">
        <f t="shared" si="8"/>
        <v>8.4826404241690086E-3</v>
      </c>
    </row>
    <row r="190" spans="22:25" x14ac:dyDescent="0.25">
      <c r="V190">
        <v>18.8</v>
      </c>
      <c r="W190">
        <f t="shared" si="6"/>
        <v>2.4948278014690652</v>
      </c>
      <c r="X190" s="4">
        <f t="shared" si="7"/>
        <v>-0.11453490971932237</v>
      </c>
      <c r="Y190" s="4">
        <f t="shared" si="8"/>
        <v>8.3935860076009769E-3</v>
      </c>
    </row>
    <row r="191" spans="22:25" x14ac:dyDescent="0.25">
      <c r="V191">
        <v>18.899999999999999</v>
      </c>
      <c r="W191">
        <f t="shared" si="6"/>
        <v>2.4834161315626466</v>
      </c>
      <c r="X191" s="4">
        <f t="shared" si="7"/>
        <v>-0.11369995190726921</v>
      </c>
      <c r="Y191" s="4">
        <f t="shared" si="8"/>
        <v>8.3057757506467527E-3</v>
      </c>
    </row>
    <row r="192" spans="22:25" x14ac:dyDescent="0.25">
      <c r="V192">
        <v>19</v>
      </c>
      <c r="W192">
        <f t="shared" si="6"/>
        <v>2.4720875204322286</v>
      </c>
      <c r="X192" s="4">
        <f t="shared" si="7"/>
        <v>-0.11287371382901401</v>
      </c>
      <c r="Y192" s="4">
        <f t="shared" si="8"/>
        <v>8.2191877147183203E-3</v>
      </c>
    </row>
    <row r="193" spans="22:25" x14ac:dyDescent="0.25">
      <c r="V193">
        <v>19.100000000000001</v>
      </c>
      <c r="W193">
        <f t="shared" si="6"/>
        <v>2.4608411021795669</v>
      </c>
      <c r="X193" s="4">
        <f t="shared" si="7"/>
        <v>-0.11205607433976325</v>
      </c>
      <c r="Y193" s="4">
        <f t="shared" si="8"/>
        <v>8.1338004309194044E-3</v>
      </c>
    </row>
    <row r="194" spans="22:25" x14ac:dyDescent="0.25">
      <c r="V194">
        <v>19.2</v>
      </c>
      <c r="W194">
        <f t="shared" si="6"/>
        <v>2.4496760229143169</v>
      </c>
      <c r="X194" s="4">
        <f t="shared" si="7"/>
        <v>-0.11124691441862374</v>
      </c>
      <c r="Y194" s="4">
        <f t="shared" si="8"/>
        <v>8.0495928881883887E-3</v>
      </c>
    </row>
    <row r="195" spans="22:25" x14ac:dyDescent="0.25">
      <c r="V195">
        <v>19.3</v>
      </c>
      <c r="W195">
        <f t="shared" ref="W195:W232" si="9">cfSab_mat(V195, $B$7:$E$11, $A$4:$E$4)</f>
        <v>2.4385914405439064</v>
      </c>
      <c r="X195" s="4">
        <f t="shared" ref="X195:X232" si="10">c_fSab_mat(V195, $B$7:$E$11, $A$4:$E$4)</f>
        <v>-0.11044611712339798</v>
      </c>
      <c r="Y195" s="4">
        <f t="shared" ref="Y195:Y232" si="11">c__fSab_mat(V195, $B$7:$E$11, $A$4:$E$4)</f>
        <v>7.966544521786259E-3</v>
      </c>
    </row>
    <row r="196" spans="22:25" x14ac:dyDescent="0.25">
      <c r="V196">
        <v>19.399999999999999</v>
      </c>
      <c r="W196">
        <f t="shared" si="9"/>
        <v>2.4275865245679036</v>
      </c>
      <c r="X196" s="4">
        <f t="shared" si="10"/>
        <v>-0.10965356754651343</v>
      </c>
      <c r="Y196" s="4">
        <f t="shared" si="11"/>
        <v>7.8846352021181964E-3</v>
      </c>
    </row>
    <row r="197" spans="22:25" x14ac:dyDescent="0.25">
      <c r="V197">
        <v>19.5</v>
      </c>
      <c r="W197">
        <f t="shared" si="9"/>
        <v>2.4166604558766891</v>
      </c>
      <c r="X197" s="4">
        <f t="shared" si="10"/>
        <v>-0.10886915277205313</v>
      </c>
      <c r="Y197" s="4">
        <f t="shared" si="11"/>
        <v>7.8038452238778314E-3</v>
      </c>
    </row>
    <row r="198" spans="22:25" x14ac:dyDescent="0.25">
      <c r="V198">
        <v>19.600000000000001</v>
      </c>
      <c r="W198">
        <f t="shared" si="9"/>
        <v>2.4058124265544056</v>
      </c>
      <c r="X198" s="4">
        <f t="shared" si="10"/>
        <v>-0.10809276183385724</v>
      </c>
      <c r="Y198" s="4">
        <f t="shared" si="11"/>
        <v>7.7241552955036909E-3</v>
      </c>
    </row>
    <row r="199" spans="22:25" x14ac:dyDescent="0.25">
      <c r="V199">
        <v>19.7</v>
      </c>
      <c r="W199">
        <f t="shared" si="9"/>
        <v>2.3950416396860277</v>
      </c>
      <c r="X199" s="4">
        <f t="shared" si="10"/>
        <v>-0.10732428567466271</v>
      </c>
      <c r="Y199" s="4">
        <f t="shared" si="11"/>
        <v>7.6455465289376025E-3</v>
      </c>
    </row>
    <row r="200" spans="22:25" x14ac:dyDescent="0.25">
      <c r="V200">
        <v>19.8</v>
      </c>
      <c r="W200">
        <f t="shared" si="9"/>
        <v>2.3843473091684793</v>
      </c>
      <c r="X200" s="4">
        <f t="shared" si="10"/>
        <v>-0.10656361710625274</v>
      </c>
      <c r="Y200" s="4">
        <f t="shared" si="11"/>
        <v>7.5680004296753067E-3</v>
      </c>
    </row>
    <row r="201" spans="22:25" x14ac:dyDescent="0.25">
      <c r="V201">
        <v>19.899999999999999</v>
      </c>
      <c r="W201">
        <f t="shared" si="9"/>
        <v>2.3737286595256775</v>
      </c>
      <c r="X201" s="4">
        <f t="shared" si="10"/>
        <v>-0.10581065077058749</v>
      </c>
      <c r="Y201" s="4">
        <f t="shared" si="11"/>
        <v>7.491498887099852E-3</v>
      </c>
    </row>
    <row r="202" spans="22:25" x14ac:dyDescent="0.25">
      <c r="V202">
        <v>20</v>
      </c>
      <c r="W202">
        <f t="shared" si="9"/>
        <v>2.3631849257274138</v>
      </c>
      <c r="X202" s="4">
        <f t="shared" si="10"/>
        <v>-0.10506528310188659</v>
      </c>
      <c r="Y202" s="4">
        <f t="shared" si="11"/>
        <v>7.4160241650886166E-3</v>
      </c>
    </row>
    <row r="203" spans="22:25" x14ac:dyDescent="0.25">
      <c r="V203">
        <v>20.100000000000001</v>
      </c>
      <c r="W203">
        <f t="shared" si="9"/>
        <v>2.3527153530119942</v>
      </c>
      <c r="X203" s="4">
        <f t="shared" si="10"/>
        <v>-0.10432741228963892</v>
      </c>
      <c r="Y203" s="4">
        <f t="shared" si="11"/>
        <v>7.3415588928852638E-3</v>
      </c>
    </row>
    <row r="204" spans="22:25" x14ac:dyDescent="0.25">
      <c r="V204">
        <v>20.2</v>
      </c>
      <c r="W204">
        <f t="shared" si="9"/>
        <v>2.3423191967125203</v>
      </c>
      <c r="X204" s="4">
        <f t="shared" si="10"/>
        <v>-0.10359693824251115</v>
      </c>
      <c r="Y204" s="4">
        <f t="shared" si="11"/>
        <v>7.268086056228109E-3</v>
      </c>
    </row>
    <row r="205" spans="22:25" x14ac:dyDescent="0.25">
      <c r="V205">
        <v>20.3</v>
      </c>
      <c r="W205">
        <f t="shared" si="9"/>
        <v>2.331995722086734</v>
      </c>
      <c r="X205" s="4">
        <f t="shared" si="10"/>
        <v>-0.10287376255313191</v>
      </c>
      <c r="Y205" s="4">
        <f t="shared" si="11"/>
        <v>7.1955889887267829E-3</v>
      </c>
    </row>
    <row r="206" spans="22:25" x14ac:dyDescent="0.25">
      <c r="V206">
        <v>20.399999999999999</v>
      </c>
      <c r="W206">
        <f t="shared" si="9"/>
        <v>2.3217442041503564</v>
      </c>
      <c r="X206" s="4">
        <f t="shared" si="10"/>
        <v>-0.10215778846372546</v>
      </c>
      <c r="Y206" s="4">
        <f t="shared" si="11"/>
        <v>7.1240513634792998E-3</v>
      </c>
    </row>
    <row r="207" spans="22:25" x14ac:dyDescent="0.25">
      <c r="V207">
        <v>20.5</v>
      </c>
      <c r="W207">
        <f t="shared" si="9"/>
        <v>2.3115639275138067</v>
      </c>
      <c r="X207" s="4">
        <f t="shared" si="10"/>
        <v>-0.10144892083257236</v>
      </c>
      <c r="Y207" s="4">
        <f t="shared" si="11"/>
        <v>7.0534571849219466E-3</v>
      </c>
    </row>
    <row r="208" spans="22:25" x14ac:dyDescent="0.25">
      <c r="V208">
        <v>20.6</v>
      </c>
      <c r="W208">
        <f t="shared" si="9"/>
        <v>2.3014541862222377</v>
      </c>
      <c r="X208" s="4">
        <f t="shared" si="10"/>
        <v>-0.10074706610127381</v>
      </c>
      <c r="Y208" s="4">
        <f t="shared" si="11"/>
        <v>6.9837907809047108E-3</v>
      </c>
    </row>
    <row r="209" spans="22:25" x14ac:dyDescent="0.25">
      <c r="V209">
        <v>20.7</v>
      </c>
      <c r="W209">
        <f t="shared" si="9"/>
        <v>2.2914142835988121</v>
      </c>
      <c r="X209" s="4">
        <f t="shared" si="10"/>
        <v>-0.10005213226279731</v>
      </c>
      <c r="Y209" s="4">
        <f t="shared" si="11"/>
        <v>6.9150367949851075E-3</v>
      </c>
    </row>
    <row r="210" spans="22:25" x14ac:dyDescent="0.25">
      <c r="V210">
        <v>20.8</v>
      </c>
      <c r="W210">
        <f t="shared" si="9"/>
        <v>2.2814435320911342</v>
      </c>
      <c r="X210" s="4">
        <f t="shared" si="10"/>
        <v>-9.9364028830282211E-2</v>
      </c>
      <c r="Y210" s="4">
        <f t="shared" si="11"/>
        <v>6.8471801789336479E-3</v>
      </c>
    </row>
    <row r="211" spans="22:25" x14ac:dyDescent="0.25">
      <c r="V211">
        <v>20.9</v>
      </c>
      <c r="W211">
        <f t="shared" si="9"/>
        <v>2.2715412531207511</v>
      </c>
      <c r="X211" s="4">
        <f t="shared" si="10"/>
        <v>-9.8682666806584954E-2</v>
      </c>
      <c r="Y211" s="4">
        <f t="shared" si="11"/>
        <v>6.7802061854443643E-3</v>
      </c>
    </row>
    <row r="212" spans="22:25" x14ac:dyDescent="0.25">
      <c r="V212">
        <v>21</v>
      </c>
      <c r="W212">
        <f t="shared" si="9"/>
        <v>2.2617067769356858</v>
      </c>
      <c r="X212" s="4">
        <f t="shared" si="10"/>
        <v>-9.8007958654542496E-2</v>
      </c>
      <c r="Y212" s="4">
        <f t="shared" si="11"/>
        <v>6.7141003610439983E-3</v>
      </c>
    </row>
    <row r="213" spans="22:25" x14ac:dyDescent="0.25">
      <c r="V213">
        <v>21.1</v>
      </c>
      <c r="W213">
        <f t="shared" si="9"/>
        <v>2.2519394424658858</v>
      </c>
      <c r="X213" s="4">
        <f t="shared" si="10"/>
        <v>-9.7339818267935821E-2</v>
      </c>
      <c r="Y213" s="4">
        <f t="shared" si="11"/>
        <v>6.6488485391937848E-3</v>
      </c>
    </row>
    <row r="214" spans="22:25" x14ac:dyDescent="0.25">
      <c r="V214">
        <v>21.2</v>
      </c>
      <c r="W214">
        <f t="shared" si="9"/>
        <v>2.2422385971815655</v>
      </c>
      <c r="X214" s="4">
        <f t="shared" si="10"/>
        <v>-9.6678160943133334E-2</v>
      </c>
      <c r="Y214" s="4">
        <f t="shared" si="11"/>
        <v>6.584436833577836E-3</v>
      </c>
    </row>
    <row r="215" spans="22:25" x14ac:dyDescent="0.25">
      <c r="V215">
        <v>21.3</v>
      </c>
      <c r="W215">
        <f t="shared" si="9"/>
        <v>2.2326035969543216</v>
      </c>
      <c r="X215" s="4">
        <f t="shared" si="10"/>
        <v>-9.6022903351396904E-2</v>
      </c>
      <c r="Y215" s="4">
        <f t="shared" si="11"/>
        <v>6.5208516315724803E-3</v>
      </c>
    </row>
    <row r="216" spans="22:25" x14ac:dyDescent="0.25">
      <c r="V216">
        <v>21.4</v>
      </c>
      <c r="W216">
        <f t="shared" si="9"/>
        <v>2.2230338059210157</v>
      </c>
      <c r="X216" s="4">
        <f t="shared" si="10"/>
        <v>-9.5373963511831528E-2</v>
      </c>
      <c r="Y216" s="4">
        <f t="shared" si="11"/>
        <v>6.4580795878909757E-3</v>
      </c>
    </row>
    <row r="217" spans="22:25" x14ac:dyDescent="0.25">
      <c r="V217">
        <v>21.5</v>
      </c>
      <c r="W217">
        <f t="shared" si="9"/>
        <v>2.2135285963503049</v>
      </c>
      <c r="X217" s="4">
        <f t="shared" si="10"/>
        <v>-9.4731260764962535E-2</v>
      </c>
      <c r="Y217" s="4">
        <f t="shared" si="11"/>
        <v>6.3961076183983029E-3</v>
      </c>
    </row>
    <row r="218" spans="22:25" x14ac:dyDescent="0.25">
      <c r="V218">
        <v>21.6</v>
      </c>
      <c r="W218">
        <f t="shared" si="9"/>
        <v>2.2040873485118069</v>
      </c>
      <c r="X218" s="4">
        <f t="shared" si="10"/>
        <v>-9.4094715746922672E-2</v>
      </c>
      <c r="Y218" s="4">
        <f t="shared" si="11"/>
        <v>6.3349228940908714E-3</v>
      </c>
    </row>
    <row r="219" spans="22:25" x14ac:dyDescent="0.25">
      <c r="V219">
        <v>21.7</v>
      </c>
      <c r="W219">
        <f t="shared" si="9"/>
        <v>2.1947094505477929</v>
      </c>
      <c r="X219" s="4">
        <f t="shared" si="10"/>
        <v>-9.3464250364233226E-2</v>
      </c>
      <c r="Y219" s="4">
        <f t="shared" si="11"/>
        <v>6.2745128352361384E-3</v>
      </c>
    </row>
    <row r="220" spans="22:25" x14ac:dyDescent="0.25">
      <c r="V220">
        <v>21.8</v>
      </c>
      <c r="W220">
        <f t="shared" si="9"/>
        <v>2.1853942983473971</v>
      </c>
      <c r="X220" s="4">
        <f t="shared" si="10"/>
        <v>-9.2839787769163629E-2</v>
      </c>
      <c r="Y220" s="4">
        <f t="shared" si="11"/>
        <v>6.2148651056673776E-3</v>
      </c>
    </row>
    <row r="221" spans="22:25" x14ac:dyDescent="0.25">
      <c r="V221">
        <v>21.9</v>
      </c>
      <c r="W221">
        <f t="shared" si="9"/>
        <v>2.17614129542324</v>
      </c>
      <c r="X221" s="4">
        <f t="shared" si="10"/>
        <v>-9.2221252335653855E-2</v>
      </c>
      <c r="Y221" s="4">
        <f t="shared" si="11"/>
        <v>6.1559676072289061E-3</v>
      </c>
    </row>
    <row r="222" spans="22:25" x14ac:dyDescent="0.25">
      <c r="V222">
        <v>22</v>
      </c>
      <c r="W222">
        <f t="shared" si="9"/>
        <v>2.1669498527904505</v>
      </c>
      <c r="X222" s="4">
        <f t="shared" si="10"/>
        <v>-9.1608569635784551E-2</v>
      </c>
      <c r="Y222" s="4">
        <f t="shared" si="11"/>
        <v>6.0978084743672778E-3</v>
      </c>
    </row>
    <row r="223" spans="22:25" x14ac:dyDescent="0.25">
      <c r="V223">
        <v>22.1</v>
      </c>
      <c r="W223">
        <f t="shared" si="9"/>
        <v>2.1578193888480008</v>
      </c>
      <c r="X223" s="4">
        <f t="shared" si="10"/>
        <v>-9.1001666416781965E-2</v>
      </c>
      <c r="Y223" s="4">
        <f t="shared" si="11"/>
        <v>6.0403760688641462E-3</v>
      </c>
    </row>
    <row r="224" spans="22:25" x14ac:dyDescent="0.25">
      <c r="V224">
        <v>22.2</v>
      </c>
      <c r="W224">
        <f t="shared" si="9"/>
        <v>2.1487493292623254</v>
      </c>
      <c r="X224" s="4">
        <f t="shared" si="10"/>
        <v>-9.0400470578541531E-2</v>
      </c>
      <c r="Y224" s="4">
        <f t="shared" si="11"/>
        <v>5.9836589747065249E-3</v>
      </c>
    </row>
    <row r="225" spans="22:25" x14ac:dyDescent="0.25">
      <c r="V225">
        <v>22.3</v>
      </c>
      <c r="W225">
        <f t="shared" si="9"/>
        <v>2.1397391068531464</v>
      </c>
      <c r="X225" s="4">
        <f t="shared" si="10"/>
        <v>-8.980491115165852E-2</v>
      </c>
      <c r="Y225" s="4">
        <f t="shared" si="11"/>
        <v>5.927645993090442E-3</v>
      </c>
    </row>
    <row r="226" spans="22:25" x14ac:dyDescent="0.25">
      <c r="V226">
        <v>22.4</v>
      </c>
      <c r="W226">
        <f t="shared" si="9"/>
        <v>2.1307881614814965</v>
      </c>
      <c r="X226" s="4">
        <f t="shared" si="10"/>
        <v>-8.9214918275951433E-2</v>
      </c>
      <c r="Y226" s="4">
        <f t="shared" si="11"/>
        <v>5.8723261375540443E-3</v>
      </c>
    </row>
    <row r="227" spans="22:25" x14ac:dyDescent="0.25">
      <c r="V227">
        <v>22.5</v>
      </c>
      <c r="W227">
        <f t="shared" si="9"/>
        <v>2.1218959399398356</v>
      </c>
      <c r="X227" s="4">
        <f t="shared" si="10"/>
        <v>-8.8630423179465928E-2</v>
      </c>
      <c r="Y227" s="4">
        <f t="shared" si="11"/>
        <v>5.8176886292363389E-3</v>
      </c>
    </row>
    <row r="228" spans="22:25" x14ac:dyDescent="0.25">
      <c r="V228">
        <v>22.6</v>
      </c>
      <c r="W228">
        <f t="shared" si="9"/>
        <v>2.1130618958442695</v>
      </c>
      <c r="X228" s="4">
        <f t="shared" si="10"/>
        <v>-8.805135815794668E-2</v>
      </c>
      <c r="Y228" s="4">
        <f t="shared" si="11"/>
        <v>5.7637228922579201E-3</v>
      </c>
    </row>
    <row r="229" spans="22:25" x14ac:dyDescent="0.25">
      <c r="V229">
        <v>22.7</v>
      </c>
      <c r="W229">
        <f t="shared" si="9"/>
        <v>2.1042854895287775</v>
      </c>
      <c r="X229" s="4">
        <f t="shared" si="10"/>
        <v>-8.7477656554765304E-2</v>
      </c>
      <c r="Y229" s="4">
        <f t="shared" si="11"/>
        <v>5.7104185492201217E-3</v>
      </c>
    </row>
    <row r="230" spans="22:25" x14ac:dyDescent="0.25">
      <c r="V230">
        <v>22.8</v>
      </c>
      <c r="W230">
        <f t="shared" si="9"/>
        <v>2.0955661879414444</v>
      </c>
      <c r="X230" s="4">
        <f t="shared" si="10"/>
        <v>-8.6909252741292339E-2</v>
      </c>
      <c r="Y230" s="4">
        <f t="shared" si="11"/>
        <v>5.6577654168191334E-3</v>
      </c>
    </row>
    <row r="231" spans="22:25" x14ac:dyDescent="0.25">
      <c r="V231">
        <v>22.9</v>
      </c>
      <c r="W231">
        <f t="shared" si="9"/>
        <v>2.0869034645426221</v>
      </c>
      <c r="X231" s="4">
        <f t="shared" si="10"/>
        <v>-8.6346082097702656E-2</v>
      </c>
      <c r="Y231" s="4">
        <f t="shared" si="11"/>
        <v>5.6057535015718177E-3</v>
      </c>
    </row>
    <row r="232" spans="22:25" x14ac:dyDescent="0.25">
      <c r="V232">
        <v>23</v>
      </c>
      <c r="W232">
        <f t="shared" si="9"/>
        <v>2.0782967992049812</v>
      </c>
      <c r="X232" s="4">
        <f t="shared" si="10"/>
        <v>-8.5788080994202237E-2</v>
      </c>
      <c r="Y232" s="4">
        <f t="shared" si="11"/>
        <v>5.5543729956499125E-3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Q30"/>
  <sheetViews>
    <sheetView workbookViewId="0"/>
  </sheetViews>
  <sheetFormatPr defaultRowHeight="15" x14ac:dyDescent="0.25"/>
  <cols>
    <col min="1" max="10" width="10.5703125" bestFit="1" customWidth="1"/>
    <col min="14" max="14" width="13.7109375" bestFit="1" customWidth="1"/>
    <col min="15" max="15" width="9.7109375" bestFit="1" customWidth="1"/>
    <col min="16" max="16" width="9.5703125" bestFit="1" customWidth="1"/>
    <col min="17" max="17" width="14.42578125" bestFit="1" customWidth="1"/>
  </cols>
  <sheetData>
    <row r="1" spans="1:17" x14ac:dyDescent="0.25">
      <c r="A1" s="1" t="s">
        <v>0</v>
      </c>
      <c r="M1" s="1" t="s">
        <v>12</v>
      </c>
      <c r="N1" s="1" t="s">
        <v>3</v>
      </c>
      <c r="O1" s="2" t="s">
        <v>6</v>
      </c>
      <c r="P1" s="1" t="s">
        <v>4</v>
      </c>
      <c r="Q1" s="1" t="s">
        <v>5</v>
      </c>
    </row>
    <row r="2" spans="1:17" x14ac:dyDescent="0.25">
      <c r="A2" s="4">
        <f t="array" aca="1" ref="A2:J2" ca="1">OFFSET($A8:$J8, $B$6, 0)</f>
        <v>46718.421139999999</v>
      </c>
      <c r="B2" s="4">
        <f ca="1"/>
        <v>8442.3866899999994</v>
      </c>
      <c r="C2" s="4">
        <f ca="1"/>
        <v>6498.64995</v>
      </c>
      <c r="D2" s="4">
        <f ca="1"/>
        <v>3720.9337799999998</v>
      </c>
      <c r="E2" s="4">
        <f ca="1"/>
        <v>2706.5789399999999</v>
      </c>
      <c r="F2" s="4">
        <f ca="1"/>
        <v>1672.4821999999999</v>
      </c>
      <c r="G2" s="4">
        <f ca="1"/>
        <v>958.58599000000004</v>
      </c>
      <c r="H2" s="4">
        <f ca="1"/>
        <v>597.89535000000001</v>
      </c>
      <c r="I2" s="4">
        <f ca="1"/>
        <v>187.45706000000001</v>
      </c>
      <c r="J2" s="4">
        <f ca="1"/>
        <v>82.965959999999995</v>
      </c>
      <c r="K2">
        <v>0</v>
      </c>
      <c r="N2" s="4">
        <f t="array" aca="1" ref="N2:Q11" ca="1">KahaleInterpC1($B$2:$J$2, $B$4:$J$4, $A$2)</f>
        <v>14045268.723258484</v>
      </c>
      <c r="O2" s="4">
        <f ca="1"/>
        <v>2.1976775923412575</v>
      </c>
      <c r="P2">
        <f ca="1"/>
        <v>0</v>
      </c>
      <c r="Q2" s="4">
        <f ca="1"/>
        <v>-13998550.302118484</v>
      </c>
    </row>
    <row r="3" spans="1:17" x14ac:dyDescent="0.25">
      <c r="A3" s="1" t="s">
        <v>1</v>
      </c>
      <c r="N3" s="4">
        <f ca="1"/>
        <v>46236.90300113667</v>
      </c>
      <c r="O3" s="4">
        <f ca="1"/>
        <v>7.8430226355559657E-2</v>
      </c>
      <c r="P3" s="4">
        <f ca="1"/>
        <v>3.4715714164386229E-2</v>
      </c>
      <c r="Q3" s="4">
        <f ca="1"/>
        <v>224.59332171862829</v>
      </c>
    </row>
    <row r="4" spans="1:17" x14ac:dyDescent="0.25">
      <c r="A4">
        <f t="array" aca="1" ref="A4:J4" ca="1">OFFSET($A20:$J20, $B$6, 0)</f>
        <v>0</v>
      </c>
      <c r="B4" s="4">
        <f ca="1"/>
        <v>39413.154490000001</v>
      </c>
      <c r="C4" s="4">
        <f ca="1"/>
        <v>41540.796249999999</v>
      </c>
      <c r="D4" s="4">
        <f ca="1"/>
        <v>44878.259290000002</v>
      </c>
      <c r="E4" s="4">
        <f ca="1"/>
        <v>46312.653079999996</v>
      </c>
      <c r="F4" s="4">
        <f ca="1"/>
        <v>48098.336730000003</v>
      </c>
      <c r="G4" s="4">
        <f ca="1"/>
        <v>49797.089720000004</v>
      </c>
      <c r="H4" s="4">
        <f ca="1"/>
        <v>51052.15466</v>
      </c>
      <c r="I4" s="4">
        <f ca="1"/>
        <v>53756.584889999998</v>
      </c>
      <c r="J4" s="4">
        <f ca="1"/>
        <v>55483.42366</v>
      </c>
      <c r="K4" t="s">
        <v>2</v>
      </c>
      <c r="N4" s="4">
        <f ca="1"/>
        <v>49801.908181568797</v>
      </c>
      <c r="O4" s="4">
        <f ca="1"/>
        <v>8.6630374524115872E-2</v>
      </c>
      <c r="P4" s="4">
        <f ca="1"/>
        <v>0.10691233740268406</v>
      </c>
      <c r="Q4" s="4">
        <f ca="1"/>
        <v>-6229.6009164379502</v>
      </c>
    </row>
    <row r="5" spans="1:17" x14ac:dyDescent="0.25">
      <c r="N5" s="4">
        <f ca="1"/>
        <v>47126.866032011138</v>
      </c>
      <c r="O5" s="4">
        <f ca="1"/>
        <v>9.4256701307111501E-2</v>
      </c>
      <c r="P5" s="4">
        <f ca="1"/>
        <v>-8.8345738115192404E-2</v>
      </c>
      <c r="Q5" s="4">
        <f ca="1"/>
        <v>4604.9345241934416</v>
      </c>
    </row>
    <row r="6" spans="1:17" x14ac:dyDescent="0.25">
      <c r="A6" s="1" t="s">
        <v>9</v>
      </c>
      <c r="B6">
        <v>1</v>
      </c>
      <c r="N6" s="4">
        <f ca="1"/>
        <v>50381.513109479922</v>
      </c>
      <c r="O6" s="4">
        <f ca="1"/>
        <v>5.8751353199609217E-2</v>
      </c>
      <c r="P6" s="4">
        <f ca="1"/>
        <v>0.27669612098963164</v>
      </c>
      <c r="Q6" s="4">
        <f ca="1"/>
        <v>-14273.442139326598</v>
      </c>
    </row>
    <row r="7" spans="1:17" x14ac:dyDescent="0.25">
      <c r="N7" s="4">
        <f ca="1"/>
        <v>46318.812123418509</v>
      </c>
      <c r="O7" s="4">
        <f ca="1"/>
        <v>6.2451582949113037E-2</v>
      </c>
      <c r="P7" s="4">
        <f ca="1"/>
        <v>-0.23692361693709968</v>
      </c>
      <c r="Q7" s="4">
        <f ca="1"/>
        <v>12573.993800219512</v>
      </c>
    </row>
    <row r="8" spans="1:17" x14ac:dyDescent="0.25">
      <c r="A8" s="1" t="s">
        <v>10</v>
      </c>
      <c r="N8" s="4">
        <f ca="1"/>
        <v>51457.818244826864</v>
      </c>
      <c r="O8" s="4">
        <f ca="1"/>
        <v>7.1364141208838813E-2</v>
      </c>
      <c r="P8" s="4">
        <f ca="1"/>
        <v>0.31040483550633724</v>
      </c>
      <c r="Q8" s="4">
        <f ca="1"/>
        <v>-16919.660208291189</v>
      </c>
    </row>
    <row r="9" spans="1:17" x14ac:dyDescent="0.25">
      <c r="A9">
        <v>46718.421139999999</v>
      </c>
      <c r="B9">
        <v>8442.3866899999994</v>
      </c>
      <c r="C9">
        <v>6498.64995</v>
      </c>
      <c r="D9">
        <v>3720.9337799999998</v>
      </c>
      <c r="E9">
        <v>2706.5789399999999</v>
      </c>
      <c r="F9">
        <v>1672.4821999999999</v>
      </c>
      <c r="G9">
        <v>958.58599000000004</v>
      </c>
      <c r="H9">
        <v>597.89535000000001</v>
      </c>
      <c r="I9">
        <v>187.45706000000001</v>
      </c>
      <c r="J9">
        <v>82.965959999999995</v>
      </c>
      <c r="N9" s="4">
        <f ca="1"/>
        <v>47788.47059510395</v>
      </c>
      <c r="O9" s="4">
        <f ca="1"/>
        <v>6.4330088665126142E-2</v>
      </c>
      <c r="P9" s="4">
        <f ca="1"/>
        <v>-7.4801331280827416E-2</v>
      </c>
      <c r="Q9" s="4">
        <f ca="1"/>
        <v>4165.3206518694169</v>
      </c>
    </row>
    <row r="10" spans="1:17" x14ac:dyDescent="0.25">
      <c r="A10">
        <v>46718.421139999999</v>
      </c>
      <c r="B10">
        <v>11988.42909</v>
      </c>
      <c r="C10">
        <v>9287.8967900000007</v>
      </c>
      <c r="D10">
        <v>5260.0151299999998</v>
      </c>
      <c r="E10">
        <v>3815.7164899999998</v>
      </c>
      <c r="F10">
        <v>2342.54385</v>
      </c>
      <c r="G10">
        <v>1330.87717</v>
      </c>
      <c r="H10">
        <v>828.98141999999996</v>
      </c>
      <c r="I10">
        <v>256.62004000000002</v>
      </c>
      <c r="J10">
        <v>112.60836999999999</v>
      </c>
      <c r="N10" s="4">
        <f ca="1"/>
        <v>50892.100548215109</v>
      </c>
      <c r="O10" s="4">
        <f ca="1"/>
        <v>4.2769544173510456E-2</v>
      </c>
      <c r="P10" s="4">
        <f ca="1"/>
        <v>-9.6279434126504849E-3</v>
      </c>
      <c r="Q10" s="4">
        <f ca="1"/>
        <v>598.85296648126973</v>
      </c>
    </row>
    <row r="11" spans="1:17" x14ac:dyDescent="0.25">
      <c r="A11">
        <v>46718.421139999999</v>
      </c>
      <c r="B11">
        <v>14076.811589999999</v>
      </c>
      <c r="C11">
        <v>10973.696319999999</v>
      </c>
      <c r="D11">
        <v>6249.4760399999996</v>
      </c>
      <c r="E11">
        <v>4505.9127799999997</v>
      </c>
      <c r="F11">
        <v>2766.8910700000001</v>
      </c>
      <c r="G11">
        <v>1568.79484</v>
      </c>
      <c r="H11">
        <v>975.73303999999996</v>
      </c>
      <c r="I11">
        <v>301.46212000000003</v>
      </c>
      <c r="J11">
        <v>132.35422</v>
      </c>
      <c r="N11" s="4">
        <f ca="1"/>
        <v>44454.793659089773</v>
      </c>
      <c r="O11" s="4">
        <f ca="1"/>
        <v>0.12202982412565433</v>
      </c>
      <c r="P11">
        <f ca="1"/>
        <v>0</v>
      </c>
      <c r="Q11">
        <f ca="1"/>
        <v>0</v>
      </c>
    </row>
    <row r="12" spans="1:17" x14ac:dyDescent="0.25">
      <c r="A12">
        <v>46718.421139999999</v>
      </c>
      <c r="B12">
        <v>15820.54312</v>
      </c>
      <c r="C12">
        <v>12400.32509</v>
      </c>
      <c r="D12">
        <v>7100.4276600000003</v>
      </c>
      <c r="E12">
        <v>5137.3415400000004</v>
      </c>
      <c r="F12">
        <v>3149.9241299999999</v>
      </c>
      <c r="G12">
        <v>1783.40616</v>
      </c>
      <c r="H12">
        <v>1109.1741099999999</v>
      </c>
      <c r="I12">
        <v>342.1037</v>
      </c>
      <c r="J12">
        <v>150.352</v>
      </c>
    </row>
    <row r="13" spans="1:17" x14ac:dyDescent="0.25">
      <c r="A13">
        <v>46718.421139999999</v>
      </c>
      <c r="B13">
        <v>17133.924319999998</v>
      </c>
      <c r="C13">
        <v>13520.756869999999</v>
      </c>
      <c r="D13">
        <v>7758.0681000000004</v>
      </c>
      <c r="E13">
        <v>5598.2287200000001</v>
      </c>
      <c r="F13">
        <v>3412.0457299999998</v>
      </c>
      <c r="G13">
        <v>1909.18562</v>
      </c>
      <c r="H13">
        <v>1173.35069</v>
      </c>
      <c r="I13">
        <v>360.45841999999999</v>
      </c>
      <c r="J13">
        <v>157.22751</v>
      </c>
      <c r="M13" s="1" t="s">
        <v>13</v>
      </c>
      <c r="N13" s="1" t="s">
        <v>3</v>
      </c>
      <c r="O13" s="2" t="s">
        <v>6</v>
      </c>
      <c r="P13" s="1" t="s">
        <v>4</v>
      </c>
      <c r="Q13" s="1" t="s">
        <v>5</v>
      </c>
    </row>
    <row r="14" spans="1:17" x14ac:dyDescent="0.25">
      <c r="A14">
        <v>46718.421139999999</v>
      </c>
      <c r="B14">
        <v>18159.486000000001</v>
      </c>
      <c r="C14">
        <v>14379.813599999999</v>
      </c>
      <c r="D14">
        <v>8289.7176299999992</v>
      </c>
      <c r="E14">
        <v>5990.6945900000001</v>
      </c>
      <c r="F14">
        <v>3658.9780599999999</v>
      </c>
      <c r="G14">
        <v>2049.9668099999999</v>
      </c>
      <c r="H14">
        <v>1261.25296</v>
      </c>
      <c r="I14">
        <v>389.43813</v>
      </c>
      <c r="J14">
        <v>170.21483000000001</v>
      </c>
      <c r="M14">
        <v>0</v>
      </c>
      <c r="N14">
        <f t="array" aca="1" ref="N14:Q23" ca="1">KahaleInterpC2it($B$2:$J$2, $B$4:$J$4, $A$2, $M$14)</f>
        <v>14045268.723258484</v>
      </c>
      <c r="O14">
        <f ca="1"/>
        <v>2.1976775923412575</v>
      </c>
      <c r="P14">
        <f ca="1"/>
        <v>0</v>
      </c>
      <c r="Q14">
        <f ca="1"/>
        <v>-13998550.302118484</v>
      </c>
    </row>
    <row r="15" spans="1:17" x14ac:dyDescent="0.25">
      <c r="A15">
        <v>46718.421139999999</v>
      </c>
      <c r="B15">
        <v>18342.231530000001</v>
      </c>
      <c r="C15">
        <v>14518.37103</v>
      </c>
      <c r="D15">
        <v>8553.0602899999994</v>
      </c>
      <c r="E15">
        <v>6276.8921099999998</v>
      </c>
      <c r="F15">
        <v>3886.0964800000002</v>
      </c>
      <c r="G15">
        <v>2196.7556500000001</v>
      </c>
      <c r="H15">
        <v>1366.10688</v>
      </c>
      <c r="I15">
        <v>424.13150000000002</v>
      </c>
      <c r="J15">
        <v>187.17525000000001</v>
      </c>
      <c r="N15">
        <f ca="1"/>
        <v>46236.90300113667</v>
      </c>
      <c r="O15">
        <f ca="1"/>
        <v>7.8430226355559657E-2</v>
      </c>
      <c r="P15">
        <f ca="1"/>
        <v>3.4715714164386229E-2</v>
      </c>
      <c r="Q15">
        <f ca="1"/>
        <v>224.59332171862829</v>
      </c>
    </row>
    <row r="16" spans="1:17" x14ac:dyDescent="0.25">
      <c r="A16">
        <v>46718.421139999999</v>
      </c>
      <c r="B16">
        <v>18971.71514</v>
      </c>
      <c r="C16">
        <v>15121.61786</v>
      </c>
      <c r="D16">
        <v>9012.7918499999996</v>
      </c>
      <c r="E16">
        <v>6650.8511200000003</v>
      </c>
      <c r="F16">
        <v>4135.2980200000002</v>
      </c>
      <c r="G16">
        <v>2352.18887</v>
      </c>
      <c r="H16">
        <v>1464.7370599999999</v>
      </c>
      <c r="I16">
        <v>455.73741999999999</v>
      </c>
      <c r="J16">
        <v>201.38181</v>
      </c>
      <c r="N16">
        <f ca="1"/>
        <v>49801.908181568797</v>
      </c>
      <c r="O16">
        <f ca="1"/>
        <v>8.6630374524115872E-2</v>
      </c>
      <c r="P16">
        <f ca="1"/>
        <v>0.10691233740268406</v>
      </c>
      <c r="Q16">
        <f ca="1"/>
        <v>-6229.6009164379502</v>
      </c>
    </row>
    <row r="17" spans="1:17" x14ac:dyDescent="0.25">
      <c r="A17">
        <v>46718.421139999999</v>
      </c>
      <c r="B17">
        <v>19598.64386</v>
      </c>
      <c r="C17">
        <v>15664.337390000001</v>
      </c>
      <c r="D17">
        <v>9375.9920700000002</v>
      </c>
      <c r="E17">
        <v>6927.0742200000004</v>
      </c>
      <c r="F17">
        <v>4322.07791</v>
      </c>
      <c r="G17">
        <v>2457.1476499999999</v>
      </c>
      <c r="H17">
        <v>1531.7459100000001</v>
      </c>
      <c r="I17">
        <v>477.21334999999999</v>
      </c>
      <c r="J17">
        <v>210.98480000000001</v>
      </c>
      <c r="N17">
        <f ca="1"/>
        <v>47126.866032011138</v>
      </c>
      <c r="O17">
        <f ca="1"/>
        <v>9.4256701307111501E-2</v>
      </c>
      <c r="P17">
        <f ca="1"/>
        <v>-8.8345738115192404E-2</v>
      </c>
      <c r="Q17">
        <f ca="1"/>
        <v>4604.9345241934416</v>
      </c>
    </row>
    <row r="18" spans="1:17" x14ac:dyDescent="0.25">
      <c r="A18">
        <v>46718.421139999999</v>
      </c>
      <c r="B18">
        <v>20074.969069999999</v>
      </c>
      <c r="C18">
        <v>16074.89646</v>
      </c>
      <c r="D18">
        <v>9644.7931100000005</v>
      </c>
      <c r="E18">
        <v>7131.1616199999999</v>
      </c>
      <c r="F18">
        <v>4452.6429200000002</v>
      </c>
      <c r="G18">
        <v>2532.37691</v>
      </c>
      <c r="H18">
        <v>1579.02928</v>
      </c>
      <c r="I18">
        <v>492.14731999999998</v>
      </c>
      <c r="J18">
        <v>217.64918</v>
      </c>
      <c r="N18">
        <f ca="1"/>
        <v>50381.513109479922</v>
      </c>
      <c r="O18">
        <f ca="1"/>
        <v>5.8751353199609217E-2</v>
      </c>
      <c r="P18">
        <f ca="1"/>
        <v>0.27669612098963164</v>
      </c>
      <c r="Q18">
        <f ca="1"/>
        <v>-14273.442139326598</v>
      </c>
    </row>
    <row r="19" spans="1:17" x14ac:dyDescent="0.25">
      <c r="N19">
        <f ca="1"/>
        <v>46318.812123418509</v>
      </c>
      <c r="O19">
        <f ca="1"/>
        <v>6.2451582949113037E-2</v>
      </c>
      <c r="P19">
        <f ca="1"/>
        <v>-0.23692361693709968</v>
      </c>
      <c r="Q19">
        <f ca="1"/>
        <v>12573.993800219512</v>
      </c>
    </row>
    <row r="20" spans="1:17" x14ac:dyDescent="0.25">
      <c r="A20" s="1" t="s">
        <v>11</v>
      </c>
      <c r="N20">
        <f ca="1"/>
        <v>51457.818244826864</v>
      </c>
      <c r="O20">
        <f ca="1"/>
        <v>7.1364141208838813E-2</v>
      </c>
      <c r="P20">
        <f ca="1"/>
        <v>0.31040483550633724</v>
      </c>
      <c r="Q20">
        <f ca="1"/>
        <v>-16919.660208291189</v>
      </c>
    </row>
    <row r="21" spans="1:17" x14ac:dyDescent="0.25">
      <c r="A21">
        <v>0</v>
      </c>
      <c r="B21">
        <v>39413.154490000001</v>
      </c>
      <c r="C21">
        <v>41540.796249999999</v>
      </c>
      <c r="D21">
        <v>44878.259290000002</v>
      </c>
      <c r="E21">
        <v>46312.653079999996</v>
      </c>
      <c r="F21">
        <v>48098.336730000003</v>
      </c>
      <c r="G21">
        <v>49797.089720000004</v>
      </c>
      <c r="H21">
        <v>51052.15466</v>
      </c>
      <c r="I21">
        <v>53756.584889999998</v>
      </c>
      <c r="J21">
        <v>55483.42366</v>
      </c>
      <c r="N21">
        <f ca="1"/>
        <v>47788.47059510395</v>
      </c>
      <c r="O21">
        <f ca="1"/>
        <v>6.4330088665126142E-2</v>
      </c>
      <c r="P21">
        <f ca="1"/>
        <v>-7.4801331280827416E-2</v>
      </c>
      <c r="Q21">
        <f ca="1"/>
        <v>4165.3206518694169</v>
      </c>
    </row>
    <row r="22" spans="1:17" x14ac:dyDescent="0.25">
      <c r="A22">
        <v>0</v>
      </c>
      <c r="B22">
        <v>36377.545209999997</v>
      </c>
      <c r="C22">
        <v>39423.467550000001</v>
      </c>
      <c r="D22">
        <v>44388.170469999997</v>
      </c>
      <c r="E22">
        <v>46495.679629999999</v>
      </c>
      <c r="F22">
        <v>49114.957829999999</v>
      </c>
      <c r="G22">
        <v>51583.433920000003</v>
      </c>
      <c r="H22">
        <v>53421.337099999997</v>
      </c>
      <c r="I22">
        <v>57312.865239999999</v>
      </c>
      <c r="J22">
        <v>59767.606240000001</v>
      </c>
      <c r="N22">
        <f ca="1"/>
        <v>50892.100548215109</v>
      </c>
      <c r="O22">
        <f ca="1"/>
        <v>4.2769544173510456E-2</v>
      </c>
      <c r="P22">
        <f ca="1"/>
        <v>-9.6279434126504849E-3</v>
      </c>
      <c r="Q22">
        <f ca="1"/>
        <v>598.85296648126973</v>
      </c>
    </row>
    <row r="23" spans="1:17" x14ac:dyDescent="0.25">
      <c r="A23">
        <v>0</v>
      </c>
      <c r="B23">
        <v>34777.115980000002</v>
      </c>
      <c r="C23">
        <v>38377.154029999998</v>
      </c>
      <c r="D23">
        <v>44378.734530000002</v>
      </c>
      <c r="E23">
        <v>46973.923510000001</v>
      </c>
      <c r="F23">
        <v>50175.453739999997</v>
      </c>
      <c r="G23">
        <v>53198.203300000001</v>
      </c>
      <c r="H23">
        <v>55454.035490000002</v>
      </c>
      <c r="I23">
        <v>60256.682769999999</v>
      </c>
      <c r="J23">
        <v>63332.888579999999</v>
      </c>
      <c r="N23">
        <f ca="1"/>
        <v>44454.793659089773</v>
      </c>
      <c r="O23">
        <f ca="1"/>
        <v>0.12202982412565433</v>
      </c>
      <c r="P23">
        <f ca="1"/>
        <v>0</v>
      </c>
      <c r="Q23">
        <f ca="1"/>
        <v>0</v>
      </c>
    </row>
    <row r="24" spans="1:17" x14ac:dyDescent="0.25">
      <c r="A24">
        <v>0</v>
      </c>
      <c r="B24">
        <v>33495.491240000003</v>
      </c>
      <c r="C24">
        <v>37587.679620000003</v>
      </c>
      <c r="D24">
        <v>44545.294009999998</v>
      </c>
      <c r="E24">
        <v>47584.645900000003</v>
      </c>
      <c r="F24">
        <v>51368.487459999997</v>
      </c>
      <c r="G24">
        <v>54945.1037</v>
      </c>
      <c r="H24">
        <v>57631.830820000003</v>
      </c>
      <c r="I24">
        <v>63365.587500000001</v>
      </c>
      <c r="J24">
        <v>67103.754090000002</v>
      </c>
    </row>
    <row r="25" spans="1:17" x14ac:dyDescent="0.25">
      <c r="A25">
        <v>0</v>
      </c>
      <c r="B25">
        <v>32672.452840000002</v>
      </c>
      <c r="C25">
        <v>37140.589249999997</v>
      </c>
      <c r="D25">
        <v>44950.023099999999</v>
      </c>
      <c r="E25">
        <v>48387.459730000002</v>
      </c>
      <c r="F25">
        <v>52643.256679999999</v>
      </c>
      <c r="G25">
        <v>56582.095359999999</v>
      </c>
      <c r="H25">
        <v>59448.894740000003</v>
      </c>
      <c r="I25">
        <v>65695.858389999994</v>
      </c>
      <c r="J25">
        <v>69635.58296</v>
      </c>
    </row>
    <row r="26" spans="1:17" x14ac:dyDescent="0.25">
      <c r="A26">
        <v>0</v>
      </c>
      <c r="B26">
        <v>31982.94281</v>
      </c>
      <c r="C26">
        <v>36786.281649999997</v>
      </c>
      <c r="D26">
        <v>45282.922279999999</v>
      </c>
      <c r="E26">
        <v>49057.543440000001</v>
      </c>
      <c r="F26">
        <v>53758.824000000001</v>
      </c>
      <c r="G26">
        <v>58134.706310000001</v>
      </c>
      <c r="H26">
        <v>61341.324659999998</v>
      </c>
      <c r="I26">
        <v>68457.980190000002</v>
      </c>
      <c r="J26">
        <v>72990.865120000002</v>
      </c>
    </row>
    <row r="27" spans="1:17" x14ac:dyDescent="0.25">
      <c r="A27">
        <v>0</v>
      </c>
      <c r="B27">
        <v>32259.680710000001</v>
      </c>
      <c r="C27">
        <v>37239.860509999999</v>
      </c>
      <c r="D27">
        <v>45899.700900000003</v>
      </c>
      <c r="E27">
        <v>49872.412300000004</v>
      </c>
      <c r="F27">
        <v>55002.710460000002</v>
      </c>
      <c r="G27">
        <v>59898.170890000001</v>
      </c>
      <c r="H27">
        <v>63625.032650000001</v>
      </c>
      <c r="I27">
        <v>71861.658660000001</v>
      </c>
      <c r="J27">
        <v>77413.447570000004</v>
      </c>
    </row>
    <row r="28" spans="1:17" x14ac:dyDescent="0.25">
      <c r="A28">
        <v>0</v>
      </c>
      <c r="B28">
        <v>32062.692330000002</v>
      </c>
      <c r="C28">
        <v>37246.258119999999</v>
      </c>
      <c r="D28">
        <v>46461.211990000003</v>
      </c>
      <c r="E28">
        <v>50777.24409</v>
      </c>
      <c r="F28">
        <v>56430.525329999997</v>
      </c>
      <c r="G28">
        <v>61915.424400000004</v>
      </c>
      <c r="H28">
        <v>66111.883260000002</v>
      </c>
      <c r="I28">
        <v>75475.122300000003</v>
      </c>
      <c r="J28">
        <v>81863.439280000006</v>
      </c>
    </row>
    <row r="29" spans="1:17" x14ac:dyDescent="0.25">
      <c r="A29">
        <v>0</v>
      </c>
      <c r="B29">
        <v>31780.550200000001</v>
      </c>
      <c r="C29">
        <v>37222.758820000003</v>
      </c>
      <c r="D29">
        <v>46993.080470000001</v>
      </c>
      <c r="E29">
        <v>51610.937969999999</v>
      </c>
      <c r="F29">
        <v>57699.15814</v>
      </c>
      <c r="G29">
        <v>63617.128879999997</v>
      </c>
      <c r="H29">
        <v>68182.555259999994</v>
      </c>
      <c r="I29">
        <v>78427.657569999996</v>
      </c>
      <c r="J29">
        <v>85465.040989999994</v>
      </c>
    </row>
    <row r="30" spans="1:17" x14ac:dyDescent="0.25">
      <c r="A30">
        <v>0</v>
      </c>
      <c r="B30">
        <v>31707.376990000001</v>
      </c>
      <c r="C30">
        <v>37401.978139999999</v>
      </c>
      <c r="D30">
        <v>47699.445919999998</v>
      </c>
      <c r="E30">
        <v>52593.498469999999</v>
      </c>
      <c r="F30">
        <v>59066.44195</v>
      </c>
      <c r="G30">
        <v>65373.713969999997</v>
      </c>
      <c r="H30">
        <v>70255.913060000006</v>
      </c>
      <c r="I30">
        <v>81256.721390000006</v>
      </c>
      <c r="J30">
        <v>88854.011960000003</v>
      </c>
    </row>
  </sheetData>
  <dataValidations count="1">
    <dataValidation type="list" allowBlank="1" showInputMessage="1" showErrorMessage="1" sqref="B6">
      <formula1>"1, 2, 3, 4, 5, 6, 7, 8, 9, 10"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Q34"/>
  <sheetViews>
    <sheetView workbookViewId="0"/>
  </sheetViews>
  <sheetFormatPr defaultRowHeight="15" x14ac:dyDescent="0.25"/>
  <sheetData>
    <row r="1" spans="1:17" x14ac:dyDescent="0.25">
      <c r="A1" s="1" t="s">
        <v>0</v>
      </c>
      <c r="M1" s="1" t="s">
        <v>12</v>
      </c>
      <c r="N1" s="1" t="s">
        <v>3</v>
      </c>
      <c r="O1" s="2" t="s">
        <v>6</v>
      </c>
      <c r="P1" s="1" t="s">
        <v>4</v>
      </c>
      <c r="Q1" s="1" t="s">
        <v>5</v>
      </c>
    </row>
    <row r="2" spans="1:17" x14ac:dyDescent="0.25">
      <c r="A2">
        <f t="array" aca="1" ref="A2:J2" ca="1">OFFSET($A8:$J8, $B$6, 0)</f>
        <v>212884.97</v>
      </c>
      <c r="B2">
        <f ca="1"/>
        <v>5149.4417444056598</v>
      </c>
      <c r="C2">
        <f ca="1"/>
        <v>3292.3666596717999</v>
      </c>
      <c r="D2">
        <f ca="1"/>
        <v>1903.2975459966699</v>
      </c>
      <c r="E2">
        <f ca="1"/>
        <v>1432.54958121962</v>
      </c>
      <c r="F2">
        <f ca="1"/>
        <v>963.08659740701796</v>
      </c>
      <c r="G2">
        <f ca="1"/>
        <v>603.579856917597</v>
      </c>
      <c r="H2">
        <f ca="1"/>
        <v>415.51297197902699</v>
      </c>
      <c r="I2">
        <f ca="1"/>
        <v>158.60679096966501</v>
      </c>
      <c r="J2">
        <f ca="1"/>
        <v>89.337058397637506</v>
      </c>
      <c r="K2">
        <v>0</v>
      </c>
      <c r="N2">
        <f t="array" aca="1" ref="N2:Q11" ca="1">KahaleInterpC1($B$2:$J$2, $B$4:$J$4, $A$2)</f>
        <v>1.1851398303649817E+20</v>
      </c>
      <c r="O2">
        <f ca="1"/>
        <v>7.2443408196551573</v>
      </c>
      <c r="P2">
        <f ca="1"/>
        <v>0</v>
      </c>
      <c r="Q2">
        <f ca="1"/>
        <v>-1.1851398303649794E+20</v>
      </c>
    </row>
    <row r="3" spans="1:17" x14ac:dyDescent="0.25">
      <c r="A3" s="1" t="s">
        <v>1</v>
      </c>
      <c r="N3">
        <f ca="1"/>
        <v>244030.21934351308</v>
      </c>
      <c r="O3">
        <f ca="1"/>
        <v>4.1212345771481102E-3</v>
      </c>
      <c r="P3">
        <f ca="1"/>
        <v>0.14724409645100242</v>
      </c>
      <c r="Q3">
        <f ca="1"/>
        <v>-33986.737871521116</v>
      </c>
    </row>
    <row r="4" spans="1:17" x14ac:dyDescent="0.25">
      <c r="A4">
        <f t="array" aca="1" ref="A4:J4" ca="1">OFFSET($A22:$J22, $B$6, 0)</f>
        <v>0</v>
      </c>
      <c r="B4">
        <f ca="1"/>
        <v>240272.81261262199</v>
      </c>
      <c r="C4">
        <f ca="1"/>
        <v>242481.6124134</v>
      </c>
      <c r="D4">
        <f ca="1"/>
        <v>244354.08163580901</v>
      </c>
      <c r="E4">
        <f ca="1"/>
        <v>245131.326875895</v>
      </c>
      <c r="F4">
        <f ca="1"/>
        <v>246166.63878071899</v>
      </c>
      <c r="G4">
        <f ca="1"/>
        <v>247320.75392334801</v>
      </c>
      <c r="H4">
        <f ca="1"/>
        <v>248368.82151015601</v>
      </c>
      <c r="I4">
        <f ca="1"/>
        <v>251230.12942041701</v>
      </c>
      <c r="J4">
        <f ca="1"/>
        <v>254534.55461149401</v>
      </c>
      <c r="K4" t="s">
        <v>2</v>
      </c>
      <c r="N4">
        <f ca="1"/>
        <v>246946.32064103472</v>
      </c>
      <c r="O4">
        <f ca="1"/>
        <v>1.0552338995478973E-2</v>
      </c>
      <c r="P4">
        <f ca="1"/>
        <v>0.16632198490552796</v>
      </c>
      <c r="Q4">
        <f ca="1"/>
        <v>-41546.348956903967</v>
      </c>
    </row>
    <row r="5" spans="1:17" x14ac:dyDescent="0.25">
      <c r="N5">
        <f ca="1"/>
        <v>245941.7108033149</v>
      </c>
      <c r="O5">
        <f ca="1"/>
        <v>6.7419893173951036E-3</v>
      </c>
      <c r="P5">
        <f ca="1"/>
        <v>0.15701945417415081</v>
      </c>
      <c r="Q5">
        <f ca="1"/>
        <v>-38201.028495337916</v>
      </c>
    </row>
    <row r="6" spans="1:17" x14ac:dyDescent="0.25">
      <c r="A6" s="1" t="s">
        <v>9</v>
      </c>
      <c r="B6">
        <v>9</v>
      </c>
      <c r="N6">
        <f ca="1"/>
        <v>244444.49432984949</v>
      </c>
      <c r="O6">
        <f ca="1"/>
        <v>1.0067618109694702E-2</v>
      </c>
      <c r="P6">
        <f ca="1"/>
        <v>-0.14124861372260525</v>
      </c>
      <c r="Q6">
        <f ca="1"/>
        <v>35379.327439684916</v>
      </c>
    </row>
    <row r="7" spans="1:17" x14ac:dyDescent="0.25">
      <c r="N7">
        <f ca="1"/>
        <v>245213.03895167756</v>
      </c>
      <c r="O7">
        <f ca="1"/>
        <v>1.1745812832082043E-2</v>
      </c>
      <c r="P7">
        <f ca="1"/>
        <v>-1.4158969815389021E-2</v>
      </c>
      <c r="Q7">
        <f ca="1"/>
        <v>3711.7922314033835</v>
      </c>
    </row>
    <row r="8" spans="1:17" x14ac:dyDescent="0.25">
      <c r="A8" s="1" t="s">
        <v>10</v>
      </c>
      <c r="N8">
        <f ca="1"/>
        <v>245931.27408061046</v>
      </c>
      <c r="O8">
        <f ca="1"/>
        <v>5.2411114225542395E-3</v>
      </c>
      <c r="P8">
        <f ca="1"/>
        <v>-0.10485958195521468</v>
      </c>
      <c r="Q8">
        <f ca="1"/>
        <v>26444.353434810368</v>
      </c>
    </row>
    <row r="9" spans="1:17" x14ac:dyDescent="0.25">
      <c r="A9">
        <v>212884.97</v>
      </c>
      <c r="B9">
        <v>6.1057353694341101</v>
      </c>
      <c r="C9">
        <v>3.9799982113763601</v>
      </c>
      <c r="D9">
        <v>1.7304434654943199</v>
      </c>
      <c r="E9">
        <v>1.1101269650971499</v>
      </c>
      <c r="F9">
        <v>0.65983166154183004</v>
      </c>
      <c r="G9">
        <v>0.44221096235560298</v>
      </c>
      <c r="H9">
        <v>0.31336788408952998</v>
      </c>
      <c r="I9">
        <v>0.15237391572372899</v>
      </c>
      <c r="J9">
        <v>0.104601431836272</v>
      </c>
      <c r="N9">
        <f ca="1"/>
        <v>242495.58296667255</v>
      </c>
      <c r="O9">
        <f ca="1"/>
        <v>2.0769518857826942E-2</v>
      </c>
      <c r="P9">
        <f ca="1"/>
        <v>-1.2121649397169879E-2</v>
      </c>
      <c r="Q9">
        <f ca="1"/>
        <v>3111.0344290745711</v>
      </c>
    </row>
    <row r="10" spans="1:17" x14ac:dyDescent="0.25">
      <c r="A10">
        <v>212884.97</v>
      </c>
      <c r="B10">
        <v>43.908700547530302</v>
      </c>
      <c r="C10">
        <v>30.4009012686147</v>
      </c>
      <c r="D10">
        <v>14.730132209690099</v>
      </c>
      <c r="E10">
        <v>10.094189217110401</v>
      </c>
      <c r="F10">
        <v>6.2082662110042302</v>
      </c>
      <c r="G10">
        <v>4.0209842921758501</v>
      </c>
      <c r="H10">
        <v>2.7195164104268801</v>
      </c>
      <c r="I10">
        <v>1.1545995269370899</v>
      </c>
      <c r="J10">
        <v>0.71091382887607302</v>
      </c>
      <c r="N10">
        <f ca="1"/>
        <v>247998.36005009804</v>
      </c>
      <c r="O10">
        <f ca="1"/>
        <v>7.6651084190222955E-3</v>
      </c>
      <c r="P10">
        <f ca="1"/>
        <v>-1.0141601550451566E-2</v>
      </c>
      <c r="Q10">
        <f ca="1"/>
        <v>2670.5541871651467</v>
      </c>
    </row>
    <row r="11" spans="1:17" x14ac:dyDescent="0.25">
      <c r="A11">
        <v>212884.97</v>
      </c>
      <c r="B11">
        <v>91.780975239235005</v>
      </c>
      <c r="C11">
        <v>75.577762750384906</v>
      </c>
      <c r="D11">
        <v>32.963090382021598</v>
      </c>
      <c r="E11">
        <v>20.544179736782102</v>
      </c>
      <c r="F11">
        <v>11.902136600605401</v>
      </c>
      <c r="G11">
        <v>7.5006205549288998</v>
      </c>
      <c r="H11">
        <v>5.3530610107700296</v>
      </c>
      <c r="I11">
        <v>2.7478186687512798</v>
      </c>
      <c r="J11">
        <v>1.83114835218839</v>
      </c>
      <c r="N11">
        <f ca="1"/>
        <v>205157.66617985599</v>
      </c>
      <c r="O11">
        <f ca="1"/>
        <v>9.5383138330340955E-2</v>
      </c>
      <c r="P11">
        <f ca="1"/>
        <v>0</v>
      </c>
      <c r="Q11">
        <f ca="1"/>
        <v>0</v>
      </c>
    </row>
    <row r="12" spans="1:17" x14ac:dyDescent="0.25">
      <c r="A12">
        <v>212884.97</v>
      </c>
      <c r="B12">
        <v>249.42111858562501</v>
      </c>
      <c r="C12">
        <v>183.88649765425299</v>
      </c>
      <c r="D12">
        <v>94.584950732125407</v>
      </c>
      <c r="E12">
        <v>69.164349819795504</v>
      </c>
      <c r="F12">
        <v>44.005001100609697</v>
      </c>
      <c r="G12">
        <v>27.120958045197799</v>
      </c>
      <c r="H12">
        <v>18.147722263755</v>
      </c>
      <c r="I12">
        <v>7.0557186716650904</v>
      </c>
      <c r="J12">
        <v>3.6955377089670902</v>
      </c>
    </row>
    <row r="13" spans="1:17" x14ac:dyDescent="0.25">
      <c r="A13">
        <v>212884.97</v>
      </c>
      <c r="B13">
        <v>291.29655240624601</v>
      </c>
      <c r="C13">
        <v>210.31775732527601</v>
      </c>
      <c r="D13">
        <v>116.730409088719</v>
      </c>
      <c r="E13">
        <v>84.802987242612303</v>
      </c>
      <c r="F13">
        <v>53.327689856043399</v>
      </c>
      <c r="G13">
        <v>32.584366994007702</v>
      </c>
      <c r="H13">
        <v>21.470871352226801</v>
      </c>
      <c r="I13">
        <v>7.5831844754757203</v>
      </c>
      <c r="J13">
        <v>3.70304695395498</v>
      </c>
      <c r="M13" s="1" t="s">
        <v>13</v>
      </c>
      <c r="N13" s="1" t="s">
        <v>3</v>
      </c>
      <c r="O13" s="2" t="s">
        <v>6</v>
      </c>
      <c r="P13" s="1" t="s">
        <v>4</v>
      </c>
      <c r="Q13" s="1" t="s">
        <v>5</v>
      </c>
    </row>
    <row r="14" spans="1:17" x14ac:dyDescent="0.25">
      <c r="A14">
        <v>212884.97</v>
      </c>
      <c r="B14">
        <v>331.28719892515801</v>
      </c>
      <c r="C14">
        <v>235.990904791426</v>
      </c>
      <c r="D14">
        <v>137.01152480725401</v>
      </c>
      <c r="E14">
        <v>99.194387340976405</v>
      </c>
      <c r="F14">
        <v>61.982153352175402</v>
      </c>
      <c r="G14">
        <v>37.689426112497998</v>
      </c>
      <c r="H14">
        <v>24.613016322225999</v>
      </c>
      <c r="I14">
        <v>8.1239029237658507</v>
      </c>
      <c r="J14">
        <v>3.7112895582376999</v>
      </c>
      <c r="M14">
        <v>0</v>
      </c>
      <c r="N14">
        <f t="array" aca="1" ref="N14:Q23" ca="1">KahaleInterpC2it($B$2:$J$2, $B$4:$J$4, $A$2, $M$14)</f>
        <v>1.1851398303649817E+20</v>
      </c>
      <c r="O14">
        <f ca="1"/>
        <v>7.2443408196551573</v>
      </c>
      <c r="P14">
        <f ca="1"/>
        <v>0</v>
      </c>
      <c r="Q14">
        <f ca="1"/>
        <v>-1.1851398303649794E+20</v>
      </c>
    </row>
    <row r="15" spans="1:17" x14ac:dyDescent="0.25">
      <c r="A15">
        <v>212884.97</v>
      </c>
      <c r="B15">
        <v>685.47783618178801</v>
      </c>
      <c r="C15">
        <v>661.03473792929401</v>
      </c>
      <c r="D15">
        <v>396.202992281702</v>
      </c>
      <c r="E15">
        <v>302.58369964844297</v>
      </c>
      <c r="F15">
        <v>197.883565149124</v>
      </c>
      <c r="G15">
        <v>121.135587515004</v>
      </c>
      <c r="H15">
        <v>79.474438621291497</v>
      </c>
      <c r="I15">
        <v>27.9303412260487</v>
      </c>
      <c r="J15">
        <v>10.185488778583</v>
      </c>
      <c r="N15">
        <f ca="1"/>
        <v>244030.21934351308</v>
      </c>
      <c r="O15">
        <f ca="1"/>
        <v>4.1212345771481102E-3</v>
      </c>
      <c r="P15">
        <f ca="1"/>
        <v>0.14724409645100242</v>
      </c>
      <c r="Q15">
        <f ca="1"/>
        <v>-33986.737871521116</v>
      </c>
    </row>
    <row r="16" spans="1:17" x14ac:dyDescent="0.25">
      <c r="A16">
        <v>212884.97</v>
      </c>
      <c r="B16">
        <v>2729.8858041726598</v>
      </c>
      <c r="C16">
        <v>1860.8112959063101</v>
      </c>
      <c r="D16">
        <v>1137.1847571393</v>
      </c>
      <c r="E16">
        <v>865.01665849622805</v>
      </c>
      <c r="F16">
        <v>589.25230150869197</v>
      </c>
      <c r="G16">
        <v>377.69288087324799</v>
      </c>
      <c r="H16">
        <v>259.89627662112599</v>
      </c>
      <c r="I16">
        <v>95.783459640642803</v>
      </c>
      <c r="J16">
        <v>53.196666548148599</v>
      </c>
      <c r="N16">
        <f ca="1"/>
        <v>246946.32064103472</v>
      </c>
      <c r="O16">
        <f ca="1"/>
        <v>1.0552338995478973E-2</v>
      </c>
      <c r="P16">
        <f ca="1"/>
        <v>0.16632198490552796</v>
      </c>
      <c r="Q16">
        <f ca="1"/>
        <v>-41546.348956903967</v>
      </c>
    </row>
    <row r="17" spans="1:17" x14ac:dyDescent="0.25">
      <c r="A17">
        <v>212884.97</v>
      </c>
      <c r="B17">
        <v>5149.4417444056598</v>
      </c>
      <c r="C17">
        <v>3292.3666596717999</v>
      </c>
      <c r="D17">
        <v>1903.2975459966699</v>
      </c>
      <c r="E17">
        <v>1432.54958121962</v>
      </c>
      <c r="F17">
        <v>963.08659740701796</v>
      </c>
      <c r="G17">
        <v>603.579856917597</v>
      </c>
      <c r="H17">
        <v>415.51297197902699</v>
      </c>
      <c r="I17">
        <v>158.60679096966501</v>
      </c>
      <c r="J17">
        <v>89.337058397637506</v>
      </c>
      <c r="N17">
        <f ca="1"/>
        <v>245941.7108033149</v>
      </c>
      <c r="O17">
        <f ca="1"/>
        <v>6.7419893173951036E-3</v>
      </c>
      <c r="P17">
        <f ca="1"/>
        <v>0.15701945417415081</v>
      </c>
      <c r="Q17">
        <f ca="1"/>
        <v>-38201.028495337916</v>
      </c>
    </row>
    <row r="18" spans="1:17" x14ac:dyDescent="0.25">
      <c r="A18">
        <v>212884.97</v>
      </c>
      <c r="B18">
        <v>5942.4663882082396</v>
      </c>
      <c r="C18">
        <v>4410.2466687599099</v>
      </c>
      <c r="D18">
        <v>2670.4375591412199</v>
      </c>
      <c r="E18">
        <v>2034.34777343416</v>
      </c>
      <c r="F18">
        <v>1356.44177028218</v>
      </c>
      <c r="G18">
        <v>847.937036842515</v>
      </c>
      <c r="H18">
        <v>570.54157040380198</v>
      </c>
      <c r="I18">
        <v>223.617567378453</v>
      </c>
      <c r="J18">
        <v>109.748084000714</v>
      </c>
      <c r="N18">
        <f ca="1"/>
        <v>244444.49432984949</v>
      </c>
      <c r="O18">
        <f ca="1"/>
        <v>1.0067618109694702E-2</v>
      </c>
      <c r="P18">
        <f ca="1"/>
        <v>-0.14124861372260525</v>
      </c>
      <c r="Q18">
        <f ca="1"/>
        <v>35379.327439684916</v>
      </c>
    </row>
    <row r="19" spans="1:17" x14ac:dyDescent="0.25">
      <c r="A19">
        <v>212884.97</v>
      </c>
      <c r="B19">
        <v>9484.6003994845996</v>
      </c>
      <c r="C19">
        <v>7458.1183753366904</v>
      </c>
      <c r="D19">
        <v>4610.8029796128103</v>
      </c>
      <c r="E19">
        <v>3518.2283640079499</v>
      </c>
      <c r="F19">
        <v>2334.0761722780198</v>
      </c>
      <c r="G19">
        <v>1452.40454976912</v>
      </c>
      <c r="H19">
        <v>971.09968102120899</v>
      </c>
      <c r="I19">
        <v>358.99085365662899</v>
      </c>
      <c r="J19">
        <v>177.908094555594</v>
      </c>
      <c r="N19">
        <f ca="1"/>
        <v>245213.03895167756</v>
      </c>
      <c r="O19">
        <f ca="1"/>
        <v>1.1745812832082043E-2</v>
      </c>
      <c r="P19">
        <f ca="1"/>
        <v>-1.4158969815389021E-2</v>
      </c>
      <c r="Q19">
        <f ca="1"/>
        <v>3711.7922314033835</v>
      </c>
    </row>
    <row r="20" spans="1:17" x14ac:dyDescent="0.25">
      <c r="A20">
        <v>212884.97</v>
      </c>
      <c r="B20">
        <v>15752.210220176299</v>
      </c>
      <c r="C20">
        <v>12536.6209787642</v>
      </c>
      <c r="D20">
        <v>7890.9631074122699</v>
      </c>
      <c r="E20">
        <v>6053.6863726380097</v>
      </c>
      <c r="F20">
        <v>4041.3175195785602</v>
      </c>
      <c r="G20">
        <v>2517.0738793251699</v>
      </c>
      <c r="H20">
        <v>1677.1216660960999</v>
      </c>
      <c r="I20">
        <v>612.05319236953801</v>
      </c>
      <c r="J20">
        <v>301.46416751388398</v>
      </c>
      <c r="N20">
        <f ca="1"/>
        <v>245931.27408061046</v>
      </c>
      <c r="O20">
        <f ca="1"/>
        <v>5.2411114225542395E-3</v>
      </c>
      <c r="P20">
        <f ca="1"/>
        <v>-0.10485958195521468</v>
      </c>
      <c r="Q20">
        <f ca="1"/>
        <v>26444.353434810368</v>
      </c>
    </row>
    <row r="21" spans="1:17" x14ac:dyDescent="0.25">
      <c r="N21">
        <f ca="1"/>
        <v>242495.58296667255</v>
      </c>
      <c r="O21">
        <f ca="1"/>
        <v>2.0769518857826942E-2</v>
      </c>
      <c r="P21">
        <f ca="1"/>
        <v>-1.2121649397169879E-2</v>
      </c>
      <c r="Q21">
        <f ca="1"/>
        <v>3111.0344290745711</v>
      </c>
    </row>
    <row r="22" spans="1:17" x14ac:dyDescent="0.25">
      <c r="A22" s="1" t="s">
        <v>11</v>
      </c>
      <c r="N22">
        <f ca="1"/>
        <v>247998.36005009804</v>
      </c>
      <c r="O22">
        <f ca="1"/>
        <v>7.6651084190222955E-3</v>
      </c>
      <c r="P22">
        <f ca="1"/>
        <v>-1.0141601550451566E-2</v>
      </c>
      <c r="Q22">
        <f ca="1"/>
        <v>2670.5541871651467</v>
      </c>
    </row>
    <row r="23" spans="1:17" x14ac:dyDescent="0.25">
      <c r="A23">
        <v>0</v>
      </c>
      <c r="B23">
        <v>213326.00925900601</v>
      </c>
      <c r="C23">
        <v>213328.20480713999</v>
      </c>
      <c r="D23">
        <v>213330.631023389</v>
      </c>
      <c r="E23">
        <v>213331.360655289</v>
      </c>
      <c r="F23">
        <v>213332.05107831399</v>
      </c>
      <c r="G23">
        <v>213332.776027894</v>
      </c>
      <c r="H23">
        <v>213333.47115059299</v>
      </c>
      <c r="I23">
        <v>213336.18449566499</v>
      </c>
      <c r="J23">
        <v>213340.30368275399</v>
      </c>
      <c r="N23">
        <f ca="1"/>
        <v>205157.66617985599</v>
      </c>
      <c r="O23">
        <f ca="1"/>
        <v>9.5383138330340955E-2</v>
      </c>
      <c r="P23">
        <f ca="1"/>
        <v>0</v>
      </c>
      <c r="Q23">
        <f ca="1"/>
        <v>0</v>
      </c>
    </row>
    <row r="24" spans="1:17" x14ac:dyDescent="0.25">
      <c r="A24">
        <v>0</v>
      </c>
      <c r="B24">
        <v>215877.07259726999</v>
      </c>
      <c r="C24">
        <v>215891.31302151299</v>
      </c>
      <c r="D24">
        <v>215908.81443255401</v>
      </c>
      <c r="E24">
        <v>215914.69512535201</v>
      </c>
      <c r="F24">
        <v>215921.049392299</v>
      </c>
      <c r="G24">
        <v>215927.7217467</v>
      </c>
      <c r="H24">
        <v>215933.52381288499</v>
      </c>
      <c r="I24">
        <v>215952.75412634699</v>
      </c>
      <c r="J24">
        <v>215977.829211434</v>
      </c>
    </row>
    <row r="25" spans="1:17" x14ac:dyDescent="0.25">
      <c r="A25">
        <v>0</v>
      </c>
      <c r="B25">
        <v>218213.944181578</v>
      </c>
      <c r="C25">
        <v>218232.14125257099</v>
      </c>
      <c r="D25">
        <v>218279.20195454301</v>
      </c>
      <c r="E25">
        <v>218293.80832851201</v>
      </c>
      <c r="F25">
        <v>218306.88389341201</v>
      </c>
      <c r="G25">
        <v>218319.46855194701</v>
      </c>
      <c r="H25">
        <v>218331.71195500699</v>
      </c>
      <c r="I25">
        <v>218383.18806201799</v>
      </c>
      <c r="J25">
        <v>218454.806762522</v>
      </c>
    </row>
    <row r="26" spans="1:17" x14ac:dyDescent="0.25">
      <c r="A26">
        <v>0</v>
      </c>
      <c r="B26">
        <v>220338.838456372</v>
      </c>
      <c r="C26">
        <v>220410.295688663</v>
      </c>
      <c r="D26">
        <v>220513.79762617801</v>
      </c>
      <c r="E26">
        <v>220549.58501029201</v>
      </c>
      <c r="F26">
        <v>220594.07625992</v>
      </c>
      <c r="G26">
        <v>220640.071909408</v>
      </c>
      <c r="H26">
        <v>220679.16103764699</v>
      </c>
      <c r="I26">
        <v>220792.15764583499</v>
      </c>
      <c r="J26">
        <v>220895.89958860399</v>
      </c>
    </row>
    <row r="27" spans="1:17" x14ac:dyDescent="0.25">
      <c r="A27">
        <v>0</v>
      </c>
      <c r="B27">
        <v>222576.11566376299</v>
      </c>
      <c r="C27">
        <v>222664.91821067</v>
      </c>
      <c r="D27">
        <v>222777.19575170099</v>
      </c>
      <c r="E27">
        <v>222822.181193075</v>
      </c>
      <c r="F27">
        <v>222877.299115195</v>
      </c>
      <c r="G27">
        <v>222933.13679721201</v>
      </c>
      <c r="H27">
        <v>222979.014515321</v>
      </c>
      <c r="I27">
        <v>223092.39647485901</v>
      </c>
      <c r="J27">
        <v>223182.852844548</v>
      </c>
    </row>
    <row r="28" spans="1:17" x14ac:dyDescent="0.25">
      <c r="A28">
        <v>0</v>
      </c>
      <c r="B28">
        <v>225020.323620601</v>
      </c>
      <c r="C28">
        <v>225125.71298208999</v>
      </c>
      <c r="D28">
        <v>225247.87770294899</v>
      </c>
      <c r="E28">
        <v>225301.49532158399</v>
      </c>
      <c r="F28">
        <v>225366.68963361601</v>
      </c>
      <c r="G28">
        <v>225432.001835512</v>
      </c>
      <c r="H28">
        <v>225484.60221855799</v>
      </c>
      <c r="I28">
        <v>225599.70394229901</v>
      </c>
      <c r="J28">
        <v>225676.32925118701</v>
      </c>
    </row>
    <row r="29" spans="1:17" x14ac:dyDescent="0.25">
      <c r="A29">
        <v>0</v>
      </c>
      <c r="B29">
        <v>231679.30257284999</v>
      </c>
      <c r="C29">
        <v>231722.36978559801</v>
      </c>
      <c r="D29">
        <v>232064.26782958701</v>
      </c>
      <c r="E29">
        <v>232213.60509690599</v>
      </c>
      <c r="F29">
        <v>232418.895662041</v>
      </c>
      <c r="G29">
        <v>232635.68433041</v>
      </c>
      <c r="H29">
        <v>232812.186011404</v>
      </c>
      <c r="I29">
        <v>233247.01268525099</v>
      </c>
      <c r="J29">
        <v>233296.736412017</v>
      </c>
    </row>
    <row r="30" spans="1:17" x14ac:dyDescent="0.25">
      <c r="A30">
        <v>0</v>
      </c>
      <c r="B30">
        <v>236133.792126352</v>
      </c>
      <c r="C30">
        <v>237146.39314077899</v>
      </c>
      <c r="D30">
        <v>238117.48203356701</v>
      </c>
      <c r="E30">
        <v>238561.68664390501</v>
      </c>
      <c r="F30">
        <v>239167.528338292</v>
      </c>
      <c r="G30">
        <v>239866.63314465599</v>
      </c>
      <c r="H30">
        <v>240499.30566050601</v>
      </c>
      <c r="I30">
        <v>242115.07669771399</v>
      </c>
      <c r="J30">
        <v>243952.47649845501</v>
      </c>
    </row>
    <row r="31" spans="1:17" x14ac:dyDescent="0.25">
      <c r="A31">
        <v>0</v>
      </c>
      <c r="B31">
        <v>240272.81261262199</v>
      </c>
      <c r="C31">
        <v>242481.6124134</v>
      </c>
      <c r="D31">
        <v>244354.08163580901</v>
      </c>
      <c r="E31">
        <v>245131.326875895</v>
      </c>
      <c r="F31">
        <v>246166.63878071899</v>
      </c>
      <c r="G31">
        <v>247320.75392334801</v>
      </c>
      <c r="H31">
        <v>248368.82151015601</v>
      </c>
      <c r="I31">
        <v>251230.12942041701</v>
      </c>
      <c r="J31">
        <v>254534.55461149401</v>
      </c>
    </row>
    <row r="32" spans="1:17" x14ac:dyDescent="0.25">
      <c r="A32">
        <v>0</v>
      </c>
      <c r="B32">
        <v>245842.868388337</v>
      </c>
      <c r="C32">
        <v>247762.40538679899</v>
      </c>
      <c r="D32">
        <v>250223.58756105599</v>
      </c>
      <c r="E32">
        <v>251327.881103099</v>
      </c>
      <c r="F32">
        <v>252841.90243899799</v>
      </c>
      <c r="G32">
        <v>254514.35677592899</v>
      </c>
      <c r="H32">
        <v>255961.807684058</v>
      </c>
      <c r="I32">
        <v>260234.67374176899</v>
      </c>
      <c r="J32">
        <v>263462.00087874301</v>
      </c>
    </row>
    <row r="33" spans="1:10" x14ac:dyDescent="0.25">
      <c r="A33">
        <v>0</v>
      </c>
      <c r="B33">
        <v>255294.56332558201</v>
      </c>
      <c r="C33">
        <v>258027.167225343</v>
      </c>
      <c r="D33">
        <v>262336.99846576201</v>
      </c>
      <c r="E33">
        <v>264355.88818171201</v>
      </c>
      <c r="F33">
        <v>267140.78208861197</v>
      </c>
      <c r="G33">
        <v>270199.41168626101</v>
      </c>
      <c r="H33">
        <v>272821.20754196</v>
      </c>
      <c r="I33">
        <v>279883.17690128199</v>
      </c>
      <c r="J33">
        <v>285717.30176514498</v>
      </c>
    </row>
    <row r="34" spans="1:10" x14ac:dyDescent="0.25">
      <c r="A34">
        <v>0</v>
      </c>
      <c r="B34">
        <v>261436.674914576</v>
      </c>
      <c r="C34">
        <v>266047.17295049201</v>
      </c>
      <c r="D34">
        <v>273581.14722534397</v>
      </c>
      <c r="E34">
        <v>277234.84942201799</v>
      </c>
      <c r="F34">
        <v>282363.96202603198</v>
      </c>
      <c r="G34">
        <v>288074.97387359297</v>
      </c>
      <c r="H34">
        <v>292967.668949107</v>
      </c>
      <c r="I34">
        <v>306059.36049389897</v>
      </c>
      <c r="J34">
        <v>316969.19370894</v>
      </c>
    </row>
  </sheetData>
  <dataValidations count="1">
    <dataValidation type="list" allowBlank="1" showInputMessage="1" showErrorMessage="1" sqref="B6">
      <formula1>"1, 2, 3, 4, 5, 6, 7, 8, 9, 10, 11, 12"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Exemplo Base C1</vt:lpstr>
      <vt:lpstr>Exemplo Base C2it</vt:lpstr>
      <vt:lpstr>Exemplo Base C2</vt:lpstr>
      <vt:lpstr>Exemplo VOI</vt:lpstr>
      <vt:lpstr>Exemplo VID 2016-07-26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10</dc:creator>
  <cp:lastModifiedBy>Windows 10</cp:lastModifiedBy>
  <dcterms:created xsi:type="dcterms:W3CDTF">2017-08-29T18:58:23Z</dcterms:created>
  <dcterms:modified xsi:type="dcterms:W3CDTF">2019-03-22T14:05:20Z</dcterms:modified>
</cp:coreProperties>
</file>